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assai\codes\assignments\capston final project\part3_regression_insights\analysis\"/>
    </mc:Choice>
  </mc:AlternateContent>
  <xr:revisionPtr revIDLastSave="0" documentId="13_ncr:1_{6BF11A1A-B250-40E1-872C-6C7FCD419364}" xr6:coauthVersionLast="47" xr6:coauthVersionMax="47" xr10:uidLastSave="{00000000-0000-0000-0000-000000000000}"/>
  <bookViews>
    <workbookView xWindow="12576" yWindow="0" windowWidth="11520" windowHeight="12240" firstSheet="2" activeTab="3" xr2:uid="{00000000-000D-0000-FFFF-FFFF00000000}"/>
  </bookViews>
  <sheets>
    <sheet name="Footfall" sheetId="3" r:id="rId1"/>
    <sheet name="Marketing_spend_reg" sheetId="4" r:id="rId2"/>
    <sheet name="Staff_count_reg" sheetId="5" r:id="rId3"/>
    <sheet name="Multiple regression" sheetId="16" r:id="rId4"/>
    <sheet name="Model comparission" sheetId="15" r:id="rId5"/>
    <sheet name="store_performance" sheetId="1" r:id="rId6"/>
  </sheets>
  <calcPr calcId="191029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2" i="1"/>
</calcChain>
</file>

<file path=xl/sharedStrings.xml><?xml version="1.0" encoding="utf-8"?>
<sst xmlns="http://schemas.openxmlformats.org/spreadsheetml/2006/main" count="1143" uniqueCount="168">
  <si>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</si>
  <si>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</si>
  <si>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</si>
  <si>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</si>
  <si>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</si>
  <si>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</si>
  <si>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</si>
  <si>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</si>
  <si>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</si>
  <si>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</si>
  <si>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</si>
  <si>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</si>
  <si>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</si>
  <si>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</si>
  <si>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</si>
  <si>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</si>
  <si>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</si>
  <si>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</si>
  <si>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</si>
  <si>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</si>
  <si>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</si>
  <si>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</si>
  <si>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</si>
  <si>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</si>
  <si>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</si>
  <si>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</si>
  <si>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</si>
  <si>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</si>
  <si>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</si>
  <si>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</si>
  <si>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</si>
  <si>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</si>
  <si>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</si>
  <si>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</si>
  <si>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</si>
  <si>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</si>
  <si>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</si>
  <si>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</si>
  <si>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</si>
  <si>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</si>
  <si>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</si>
  <si>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</si>
  <si>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</si>
  <si>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</si>
  <si>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</si>
  <si>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</si>
  <si>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</si>
  <si>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</si>
  <si>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</si>
  <si>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</si>
  <si>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</si>
  <si>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</si>
  <si>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</si>
  <si>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</si>
  <si>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</si>
  <si>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</si>
  <si>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</si>
  <si>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</si>
  <si>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</si>
  <si>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</si>
  <si>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</si>
  <si>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</si>
  <si>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</si>
  <si>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</si>
  <si>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</si>
  <si>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</si>
  <si>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</si>
  <si>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</si>
  <si>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</si>
  <si>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</si>
  <si>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</si>
  <si>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</si>
  <si>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</si>
  <si>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</si>
  <si>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</si>
  <si>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</si>
  <si>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</si>
  <si>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</si>
  <si>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</si>
  <si>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</si>
  <si>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</si>
  <si>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</si>
  <si>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</si>
  <si>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</si>
  <si>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</si>
  <si>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</si>
  <si>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</si>
  <si>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</si>
  <si>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</si>
  <si>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</si>
  <si>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</si>
  <si>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</si>
  <si>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</si>
  <si>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</si>
  <si>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</si>
  <si>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</si>
  <si>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</si>
  <si>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</si>
  <si>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</si>
  <si>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</si>
  <si>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</si>
  <si>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</si>
  <si>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Region North</t>
  </si>
  <si>
    <t>Region South</t>
  </si>
  <si>
    <t>Region West</t>
  </si>
  <si>
    <t>Store High Street</t>
  </si>
  <si>
    <t>Store Mall</t>
  </si>
  <si>
    <t>Store Residential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</si>
  <si>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</si>
  <si>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</si>
  <si>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</si>
  <si>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</si>
  <si>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</si>
  <si>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</si>
  <si>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</si>
  <si>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</si>
  <si>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</si>
  <si>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</si>
  <si>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</si>
  <si>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</si>
  <si>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</si>
  <si>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</si>
  <si>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</si>
  <si>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</si>
  <si>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</si>
  <si>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</si>
  <si>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</si>
  <si>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</si>
  <si>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</si>
  <si>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</si>
  <si>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</si>
  <si>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</si>
  <si>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Model Comparison — Simple vs Multiple Regression</t>
  </si>
  <si>
    <t>COMPARISON TABLE</t>
  </si>
  <si>
    <t>Dependent Variable</t>
  </si>
  <si>
    <t>Independent Variable(s)</t>
  </si>
  <si>
    <t>R-squared</t>
  </si>
  <si>
    <t>Adj. R-squared</t>
  </si>
  <si>
    <t>Key Coefficient</t>
  </si>
  <si>
    <t>35.6780</t>
  </si>
  <si>
    <t>2.1296</t>
  </si>
  <si>
    <t>16984.0288</t>
  </si>
  <si>
    <t>Multiple</t>
  </si>
  <si>
    <t>P-value (main var)</t>
  </si>
  <si>
    <t>Statistically Sig?</t>
  </si>
  <si>
    <t>Yes (most vars)</t>
  </si>
  <si>
    <t>Dummy Variables?</t>
  </si>
  <si>
    <t>No</t>
  </si>
  <si>
    <t>Yes (region + store type)</t>
  </si>
  <si>
    <t>Business Usefulness</t>
  </si>
  <si>
    <t>High — footfall is
best single predictor</t>
  </si>
  <si>
    <t>Moderate — marketing
has positive effect</t>
  </si>
  <si>
    <t>High — staffing
strongly linked to sales</t>
  </si>
  <si>
    <t>Limitations</t>
  </si>
  <si>
    <t>Ignores all other
factors</t>
  </si>
  <si>
    <t>Very low R² — marketing
alone not enough</t>
  </si>
  <si>
    <t>Collinear with footfall</t>
  </si>
  <si>
    <t>Cannot prove causation;
missing external factors</t>
  </si>
  <si>
    <t>VERDICT</t>
  </si>
  <si>
    <t>Good baseline model</t>
  </si>
  <si>
    <t>Weakest model</t>
  </si>
  <si>
    <t>Strong model</t>
  </si>
  <si>
    <t>BEST MODEL — use this</t>
  </si>
  <si>
    <t>footfall, Staff count,  inventory_availability_pct, competitor_distance_km, marketing_spend, holiday_flag, customer_rating, 3 dummy variables</t>
  </si>
  <si>
    <t>See sheet 4</t>
  </si>
  <si>
    <t>Yes</t>
  </si>
  <si>
    <t xml:space="preserve">Yes </t>
  </si>
  <si>
    <t>Highest — explains
84.1%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</si>
</sst>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9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12"/>
      <color rgb="FF000000"/>
      <name val="Bookman Old Style"/>
      <family val="1"/>
    </font>
    <font>
      <sz val="12"/>
      <name val="Bookman Old Style"/>
      <family val="1"/>
    </font>
    <font>
      <sz val="12"/>
      <color rgb="FF1B5E20"/>
      <name val="Bookman Old Style"/>
      <family val="1"/>
    </font>
  </fonts>
  <fills count="11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34495E"/>
      </patternFill>
    </fill>
    <fill>
      <patternFill patternType="solid">
        <fgColor rgb="FFF2F7FF"/>
      </patternFill>
    </fill>
    <fill>
      <patternFill patternType="solid">
        <fgColor rgb="FFFFFFFF"/>
      </patternFill>
    </fill>
    <fill>
      <patternFill patternType="solid">
        <fgColor rgb="FFFFF9C4"/>
      </patternFill>
    </fill>
    <fill>
      <patternFill patternType="solid">
        <fgColor rgb="FFC8E6C9"/>
      </patternFill>
    </fill>
    <fill>
      <patternFill patternType="solid">
        <fgColor rgb="FFFF8989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1" xfId="0" applyBorder="1"/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Continuous"/>
    </xf>
    <xf numFmtId="0" fontId="5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3" xfId="0" applyFont="1" applyBorder="1"/>
    <xf numFmtId="0" fontId="6" fillId="8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7" fillId="0" borderId="5" xfId="0" applyFont="1" applyBorder="1"/>
    <xf numFmtId="0" fontId="7" fillId="0" borderId="6" xfId="0" applyFont="1" applyBorder="1"/>
    <xf numFmtId="0" fontId="8" fillId="9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 wrapText="1"/>
    </xf>
    <xf numFmtId="0" fontId="0" fillId="0" borderId="1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Continuous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0" fillId="1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470CA-C118-4173-8FB5-10181B8B8823}">
  <dimension ref="A1:I18"/>
  <sheetViews>
    <sheetView workbookViewId="0">
      <selection activeCell="B5" sqref="B5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108</v>
      </c>
    </row>
    <row r="2" spans="1:9" ht="14.4" thickBot="1"/>
    <row r="3" spans="1:9" ht="14.4">
      <c r="A3" s="6" t="s">
        <v>109</v>
      </c>
      <c r="B3" s="6"/>
    </row>
    <row r="4" spans="1:9">
      <c r="A4" s="3" t="s">
        <v>110</v>
      </c>
      <c r="B4" s="3">
        <v>0.85807070804410468</v>
      </c>
    </row>
    <row r="5" spans="1:9">
      <c r="A5" s="3" t="s">
        <v>111</v>
      </c>
      <c r="B5" s="3">
        <v>0.73628534000331114</v>
      </c>
    </row>
    <row r="6" spans="1:9">
      <c r="A6" s="3" t="s">
        <v>112</v>
      </c>
      <c r="B6" s="3">
        <v>0.73545604861967373</v>
      </c>
    </row>
    <row r="7" spans="1:9">
      <c r="A7" s="3" t="s">
        <v>113</v>
      </c>
      <c r="B7" s="3">
        <v>53373.736380790499</v>
      </c>
    </row>
    <row r="8" spans="1:9" ht="14.4" thickBot="1">
      <c r="A8" s="4" t="s">
        <v>114</v>
      </c>
      <c r="B8" s="4">
        <v>320</v>
      </c>
    </row>
    <row r="10" spans="1:9" ht="14.4" thickBot="1">
      <c r="A10" t="s">
        <v>115</v>
      </c>
    </row>
    <row r="11" spans="1:9" ht="14.4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1</v>
      </c>
      <c r="C12" s="3">
        <v>2529264292982.4736</v>
      </c>
      <c r="D12" s="3">
        <v>2529264292982.4736</v>
      </c>
      <c r="E12" s="3">
        <v>887.84877611276033</v>
      </c>
      <c r="F12" s="3">
        <v>4.7503615090053331E-94</v>
      </c>
    </row>
    <row r="13" spans="1:9">
      <c r="A13" s="3" t="s">
        <v>117</v>
      </c>
      <c r="B13" s="3">
        <v>318</v>
      </c>
      <c r="C13" s="3">
        <v>905904323808.26587</v>
      </c>
      <c r="D13" s="3">
        <v>2848755735.246119</v>
      </c>
      <c r="E13" s="3"/>
      <c r="F13" s="3"/>
    </row>
    <row r="14" spans="1:9" ht="14.4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4.4" thickBot="1"/>
    <row r="16" spans="1:9" ht="14.4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446410.58293395344</v>
      </c>
      <c r="C17" s="3">
        <v>8407.7382630059928</v>
      </c>
      <c r="D17" s="3">
        <v>53.095204556754318</v>
      </c>
      <c r="E17" s="3">
        <v>4.0862695711507226E-160</v>
      </c>
      <c r="F17" s="3">
        <v>429868.76191129786</v>
      </c>
      <c r="G17" s="3">
        <v>462952.40395660902</v>
      </c>
      <c r="H17" s="3">
        <v>429868.76191129786</v>
      </c>
      <c r="I17" s="3">
        <v>462952.40395660902</v>
      </c>
    </row>
    <row r="18" spans="1:9" ht="14.4" thickBot="1">
      <c r="A18" s="4" t="s">
        <v>5</v>
      </c>
      <c r="B18" s="4">
        <v>35.678031072640458</v>
      </c>
      <c r="C18" s="4">
        <v>1.1973782890340821</v>
      </c>
      <c r="D18" s="4">
        <v>29.796791372776362</v>
      </c>
      <c r="E18" s="4">
        <v>4.7503615090054677E-94</v>
      </c>
      <c r="F18" s="4">
        <v>33.322246825554025</v>
      </c>
      <c r="G18" s="4">
        <v>38.033815319726891</v>
      </c>
      <c r="H18" s="4">
        <v>33.322246825554025</v>
      </c>
      <c r="I18" s="4">
        <v>38.033815319726891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A6D3F-0CCA-450B-9098-0D1C59411FA6}">
  <dimension ref="A1:I18"/>
  <sheetViews>
    <sheetView workbookViewId="0">
      <selection activeCell="B5" sqref="B5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108</v>
      </c>
    </row>
    <row r="2" spans="1:9" ht="14.4" thickBot="1"/>
    <row r="3" spans="1:9" ht="14.4">
      <c r="A3" s="6" t="s">
        <v>109</v>
      </c>
      <c r="B3" s="6"/>
    </row>
    <row r="4" spans="1:9">
      <c r="A4" s="3" t="s">
        <v>110</v>
      </c>
      <c r="B4" s="3">
        <v>0.40895561021322352</v>
      </c>
    </row>
    <row r="5" spans="1:9">
      <c r="A5" s="3" t="s">
        <v>111</v>
      </c>
      <c r="B5" s="3">
        <v>0.16724469112487</v>
      </c>
    </row>
    <row r="6" spans="1:9">
      <c r="A6" s="3" t="s">
        <v>112</v>
      </c>
      <c r="B6" s="3">
        <v>0.16462596373847024</v>
      </c>
    </row>
    <row r="7" spans="1:9">
      <c r="A7" s="3" t="s">
        <v>113</v>
      </c>
      <c r="B7" s="3">
        <v>94846.03383215853</v>
      </c>
    </row>
    <row r="8" spans="1:9" ht="14.4" thickBot="1">
      <c r="A8" s="4" t="s">
        <v>114</v>
      </c>
      <c r="B8" s="4">
        <v>320</v>
      </c>
    </row>
    <row r="10" spans="1:9" ht="14.4" thickBot="1">
      <c r="A10" t="s">
        <v>115</v>
      </c>
    </row>
    <row r="11" spans="1:9" ht="14.4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1</v>
      </c>
      <c r="C12" s="3">
        <v>574513714277.01416</v>
      </c>
      <c r="D12" s="3">
        <v>574513714277.01416</v>
      </c>
      <c r="E12" s="3">
        <v>63.864872683367629</v>
      </c>
      <c r="F12" s="3">
        <v>2.4800615101359619E-14</v>
      </c>
    </row>
    <row r="13" spans="1:9">
      <c r="A13" s="3" t="s">
        <v>117</v>
      </c>
      <c r="B13" s="3">
        <v>318</v>
      </c>
      <c r="C13" s="3">
        <v>2860654902513.7251</v>
      </c>
      <c r="D13" s="3">
        <v>8995770133.6909599</v>
      </c>
      <c r="E13" s="3"/>
      <c r="F13" s="3"/>
    </row>
    <row r="14" spans="1:9" ht="14.4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4.4" thickBot="1"/>
    <row r="16" spans="1:9" ht="14.4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560777.34544943704</v>
      </c>
      <c r="C17" s="3">
        <v>15906.905953068674</v>
      </c>
      <c r="D17" s="3">
        <v>35.253703460870398</v>
      </c>
      <c r="E17" s="3">
        <v>6.952876876284135E-112</v>
      </c>
      <c r="F17" s="3">
        <v>529481.27234763221</v>
      </c>
      <c r="G17" s="3">
        <v>592073.41855124186</v>
      </c>
      <c r="H17" s="3">
        <v>529481.27234763221</v>
      </c>
      <c r="I17" s="3">
        <v>592073.41855124186</v>
      </c>
    </row>
    <row r="18" spans="1:9" ht="14.4" thickBot="1">
      <c r="A18" s="4" t="s">
        <v>4</v>
      </c>
      <c r="B18" s="4">
        <v>2.1295753275898281</v>
      </c>
      <c r="C18" s="4">
        <v>0.26647838106932348</v>
      </c>
      <c r="D18" s="4">
        <v>7.991550080138869</v>
      </c>
      <c r="E18" s="4">
        <v>2.4800615101360068E-14</v>
      </c>
      <c r="F18" s="4">
        <v>1.6052919176921738</v>
      </c>
      <c r="G18" s="4">
        <v>2.6538587374874822</v>
      </c>
      <c r="H18" s="4">
        <v>1.6052919176921738</v>
      </c>
      <c r="I18" s="4">
        <v>2.6538587374874822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07A9-A0FB-4FA0-BA3F-2318693297A4}">
  <dimension ref="A1:I18"/>
  <sheetViews>
    <sheetView workbookViewId="0">
      <selection activeCell="B18" sqref="B18"/>
    </sheetView>
  </sheetViews>
  <sheetFormatPr defaultRowHeight="13.8"/>
  <cols>
    <col min="1" max="1" width="18.296875" bestFit="1" customWidth="1"/>
    <col min="2" max="2" width="11.8984375" bestFit="1" customWidth="1"/>
    <col min="3" max="3" width="13.3984375" bestFit="1" customWidth="1"/>
    <col min="4" max="5" width="12.19921875" bestFit="1" customWidth="1"/>
    <col min="6" max="6" width="13.09765625" bestFit="1" customWidth="1"/>
    <col min="7" max="7" width="11.8984375" bestFit="1" customWidth="1"/>
    <col min="8" max="9" width="12" bestFit="1" customWidth="1"/>
  </cols>
  <sheetData>
    <row r="1" spans="1:9">
      <c r="A1" t="s">
        <v>108</v>
      </c>
    </row>
    <row r="2" spans="1:9" ht="14.4" thickBot="1"/>
    <row r="3" spans="1:9" ht="14.4">
      <c r="A3" s="6" t="s">
        <v>109</v>
      </c>
      <c r="B3" s="6"/>
    </row>
    <row r="4" spans="1:9">
      <c r="A4" s="3" t="s">
        <v>110</v>
      </c>
      <c r="B4" s="3">
        <v>0.80764500059632516</v>
      </c>
    </row>
    <row r="5" spans="1:9">
      <c r="A5" s="3" t="s">
        <v>111</v>
      </c>
      <c r="B5" s="3">
        <v>0.65229044698823802</v>
      </c>
    </row>
    <row r="6" spans="1:9">
      <c r="A6" s="3" t="s">
        <v>112</v>
      </c>
      <c r="B6" s="3">
        <v>0.65119702072090546</v>
      </c>
    </row>
    <row r="7" spans="1:9">
      <c r="A7" s="3" t="s">
        <v>113</v>
      </c>
      <c r="B7" s="3">
        <v>61287.058979164089</v>
      </c>
    </row>
    <row r="8" spans="1:9" ht="14.4" thickBot="1">
      <c r="A8" s="4" t="s">
        <v>114</v>
      </c>
      <c r="B8" s="4">
        <v>320</v>
      </c>
    </row>
    <row r="10" spans="1:9" ht="14.4" thickBot="1">
      <c r="A10" t="s">
        <v>115</v>
      </c>
    </row>
    <row r="11" spans="1:9" ht="14.4">
      <c r="A11" s="5"/>
      <c r="B11" s="5" t="s">
        <v>120</v>
      </c>
      <c r="C11" s="5" t="s">
        <v>121</v>
      </c>
      <c r="D11" s="5" t="s">
        <v>122</v>
      </c>
      <c r="E11" s="5" t="s">
        <v>123</v>
      </c>
      <c r="F11" s="5" t="s">
        <v>124</v>
      </c>
    </row>
    <row r="12" spans="1:9">
      <c r="A12" s="3" t="s">
        <v>116</v>
      </c>
      <c r="B12" s="3">
        <v>1</v>
      </c>
      <c r="C12" s="3">
        <v>2240727672526.3984</v>
      </c>
      <c r="D12" s="3">
        <v>2240727672526.3984</v>
      </c>
      <c r="E12" s="3">
        <v>596.55640848971132</v>
      </c>
      <c r="F12" s="3">
        <v>6.2501017894057036E-75</v>
      </c>
    </row>
    <row r="13" spans="1:9">
      <c r="A13" s="3" t="s">
        <v>117</v>
      </c>
      <c r="B13" s="3">
        <v>318</v>
      </c>
      <c r="C13" s="3">
        <v>1194440944264.3411</v>
      </c>
      <c r="D13" s="3">
        <v>3756103598.3155379</v>
      </c>
      <c r="E13" s="3"/>
      <c r="F13" s="3"/>
    </row>
    <row r="14" spans="1:9" ht="14.4" thickBot="1">
      <c r="A14" s="4" t="s">
        <v>118</v>
      </c>
      <c r="B14" s="4">
        <v>319</v>
      </c>
      <c r="C14" s="4">
        <v>3435168616790.7393</v>
      </c>
      <c r="D14" s="4"/>
      <c r="E14" s="4"/>
      <c r="F14" s="4"/>
    </row>
    <row r="15" spans="1:9" ht="14.4" thickBot="1"/>
    <row r="16" spans="1:9" ht="14.4">
      <c r="A16" s="5"/>
      <c r="B16" s="5" t="s">
        <v>125</v>
      </c>
      <c r="C16" s="5" t="s">
        <v>113</v>
      </c>
      <c r="D16" s="5" t="s">
        <v>126</v>
      </c>
      <c r="E16" s="5" t="s">
        <v>127</v>
      </c>
      <c r="F16" s="5" t="s">
        <v>128</v>
      </c>
      <c r="G16" s="5" t="s">
        <v>129</v>
      </c>
      <c r="H16" s="5" t="s">
        <v>130</v>
      </c>
      <c r="I16" s="5" t="s">
        <v>131</v>
      </c>
    </row>
    <row r="17" spans="1:9">
      <c r="A17" s="3" t="s">
        <v>119</v>
      </c>
      <c r="B17" s="3">
        <v>400551.4686009016</v>
      </c>
      <c r="C17" s="3">
        <v>11967.927247884665</v>
      </c>
      <c r="D17" s="3">
        <v>33.468741938726204</v>
      </c>
      <c r="E17" s="3">
        <v>3.1549308182052979E-106</v>
      </c>
      <c r="F17" s="3">
        <v>377005.1468251936</v>
      </c>
      <c r="G17" s="3">
        <v>424097.7903766096</v>
      </c>
      <c r="H17" s="3">
        <v>377005.1468251936</v>
      </c>
      <c r="I17" s="3">
        <v>424097.7903766096</v>
      </c>
    </row>
    <row r="18" spans="1:9" ht="14.4" thickBot="1">
      <c r="A18" s="4" t="s">
        <v>7</v>
      </c>
      <c r="B18" s="4">
        <v>16984.028760225763</v>
      </c>
      <c r="C18" s="4">
        <v>695.36841269714364</v>
      </c>
      <c r="D18" s="4">
        <v>24.424504262926419</v>
      </c>
      <c r="E18" s="4">
        <v>6.2501017894062377E-75</v>
      </c>
      <c r="F18" s="4">
        <v>15615.924822183839</v>
      </c>
      <c r="G18" s="4">
        <v>18352.132698267687</v>
      </c>
      <c r="H18" s="4">
        <v>15615.924822183839</v>
      </c>
      <c r="I18" s="4">
        <v>18352.132698267687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1FE8-9CE4-4A89-A6E7-58460A969617}">
  <dimension ref="A1:I31"/>
  <sheetViews>
    <sheetView tabSelected="1" topLeftCell="A10" zoomScale="115" zoomScaleNormal="115" workbookViewId="0">
      <selection activeCell="A22" sqref="A22"/>
    </sheetView>
  </sheetViews>
  <sheetFormatPr defaultRowHeight="13.8"/>
  <cols>
    <col min="1" max="1" width="21.19921875" bestFit="1" customWidth="1"/>
    <col min="2" max="2" width="12.5" bestFit="1" customWidth="1"/>
    <col min="3" max="3" width="13.3984375" bestFit="1" customWidth="1"/>
    <col min="4" max="4" width="12.5" bestFit="1" customWidth="1"/>
    <col min="5" max="5" width="12.19921875" bestFit="1" customWidth="1"/>
    <col min="6" max="6" width="13.09765625" bestFit="1" customWidth="1"/>
    <col min="7" max="9" width="12.5" bestFit="1" customWidth="1"/>
  </cols>
  <sheetData>
    <row r="1" spans="1:9">
      <c r="A1" t="s">
        <v>108</v>
      </c>
    </row>
    <row r="2" spans="1:9" ht="14.4" thickBot="1"/>
    <row r="3" spans="1:9" ht="14.4">
      <c r="A3" s="27" t="s">
        <v>109</v>
      </c>
      <c r="B3" s="27"/>
    </row>
    <row r="4" spans="1:9">
      <c r="A4" s="24" t="s">
        <v>110</v>
      </c>
      <c r="B4" s="24">
        <v>0.91710729966756865</v>
      </c>
    </row>
    <row r="5" spans="1:9">
      <c r="A5" s="24" t="s">
        <v>111</v>
      </c>
      <c r="B5" s="24">
        <v>0.84108579910353964</v>
      </c>
    </row>
    <row r="6" spans="1:9">
      <c r="A6" s="24" t="s">
        <v>112</v>
      </c>
      <c r="B6" s="24">
        <v>0.83379137676730863</v>
      </c>
    </row>
    <row r="7" spans="1:9">
      <c r="A7" s="24" t="s">
        <v>113</v>
      </c>
      <c r="B7" s="24">
        <v>42306.340868072868</v>
      </c>
    </row>
    <row r="8" spans="1:9" ht="14.4" thickBot="1">
      <c r="A8" s="25" t="s">
        <v>114</v>
      </c>
      <c r="B8" s="25">
        <v>320</v>
      </c>
    </row>
    <row r="10" spans="1:9" ht="14.4" thickBot="1">
      <c r="A10" t="s">
        <v>115</v>
      </c>
    </row>
    <row r="11" spans="1:9" ht="14.4">
      <c r="A11" s="26"/>
      <c r="B11" s="26" t="s">
        <v>120</v>
      </c>
      <c r="C11" s="26" t="s">
        <v>121</v>
      </c>
      <c r="D11" s="26" t="s">
        <v>122</v>
      </c>
      <c r="E11" s="26" t="s">
        <v>123</v>
      </c>
      <c r="F11" s="26" t="s">
        <v>124</v>
      </c>
    </row>
    <row r="12" spans="1:9">
      <c r="A12" s="24" t="s">
        <v>116</v>
      </c>
      <c r="B12" s="24">
        <v>14</v>
      </c>
      <c r="C12" s="24">
        <v>2889271541108.8398</v>
      </c>
      <c r="D12" s="24">
        <v>206376538650.63141</v>
      </c>
      <c r="E12" s="24">
        <v>115.30533335394023</v>
      </c>
      <c r="F12" s="24">
        <v>1.0735663937327719E-112</v>
      </c>
    </row>
    <row r="13" spans="1:9">
      <c r="A13" s="24" t="s">
        <v>117</v>
      </c>
      <c r="B13" s="24">
        <v>305</v>
      </c>
      <c r="C13" s="24">
        <v>545897075681.89966</v>
      </c>
      <c r="D13" s="24">
        <v>1789826477.6455727</v>
      </c>
      <c r="E13" s="24"/>
      <c r="F13" s="24"/>
    </row>
    <row r="14" spans="1:9" ht="14.4" thickBot="1">
      <c r="A14" s="25" t="s">
        <v>118</v>
      </c>
      <c r="B14" s="25">
        <v>319</v>
      </c>
      <c r="C14" s="25">
        <v>3435168616790.7393</v>
      </c>
      <c r="D14" s="25"/>
      <c r="E14" s="25"/>
      <c r="F14" s="25"/>
    </row>
    <row r="15" spans="1:9" ht="14.4" thickBot="1"/>
    <row r="16" spans="1:9" ht="14.4">
      <c r="A16" s="26"/>
      <c r="B16" s="26" t="s">
        <v>125</v>
      </c>
      <c r="C16" s="26" t="s">
        <v>113</v>
      </c>
      <c r="D16" s="26" t="s">
        <v>126</v>
      </c>
      <c r="E16" s="26" t="s">
        <v>127</v>
      </c>
      <c r="F16" s="26" t="s">
        <v>128</v>
      </c>
      <c r="G16" s="26" t="s">
        <v>129</v>
      </c>
      <c r="H16" s="26" t="s">
        <v>130</v>
      </c>
      <c r="I16" s="26" t="s">
        <v>131</v>
      </c>
    </row>
    <row r="17" spans="1:9">
      <c r="A17" s="24" t="s">
        <v>119</v>
      </c>
      <c r="B17" s="24">
        <v>95135.355798004588</v>
      </c>
      <c r="C17" s="24">
        <v>47603.172855945661</v>
      </c>
      <c r="D17" s="24">
        <v>1.9985087146585467</v>
      </c>
      <c r="E17" s="24">
        <v>4.6548910188091673E-2</v>
      </c>
      <c r="F17" s="24">
        <v>1463.1482628875528</v>
      </c>
      <c r="G17" s="24">
        <v>188807.56333312162</v>
      </c>
      <c r="H17" s="24">
        <v>1463.1482628875528</v>
      </c>
      <c r="I17" s="24">
        <v>188807.56333312162</v>
      </c>
    </row>
    <row r="18" spans="1:9">
      <c r="A18" s="24" t="s">
        <v>102</v>
      </c>
      <c r="B18" s="24">
        <v>1068.4304918926832</v>
      </c>
      <c r="C18" s="24">
        <v>6859.5345567389368</v>
      </c>
      <c r="D18" s="24">
        <v>0.1557584531508828</v>
      </c>
      <c r="E18" s="30">
        <v>0.87632645723853275</v>
      </c>
      <c r="F18" s="24">
        <v>-12429.571973985014</v>
      </c>
      <c r="G18" s="24">
        <v>14566.432957770379</v>
      </c>
      <c r="H18" s="24">
        <v>-12429.571973985014</v>
      </c>
      <c r="I18" s="24">
        <v>14566.432957770379</v>
      </c>
    </row>
    <row r="19" spans="1:9">
      <c r="A19" s="24" t="s">
        <v>103</v>
      </c>
      <c r="B19" s="24">
        <v>17645.6402008152</v>
      </c>
      <c r="C19" s="24">
        <v>6973.2231093302853</v>
      </c>
      <c r="D19" s="24">
        <v>2.5304855336128615</v>
      </c>
      <c r="E19" s="24">
        <v>1.1893320875248069E-2</v>
      </c>
      <c r="F19" s="24">
        <v>3923.9245441186595</v>
      </c>
      <c r="G19" s="24">
        <v>31367.355857511713</v>
      </c>
      <c r="H19" s="24">
        <v>3923.9245441186595</v>
      </c>
      <c r="I19" s="24">
        <v>31367.355857511713</v>
      </c>
    </row>
    <row r="20" spans="1:9">
      <c r="A20" s="24" t="s">
        <v>104</v>
      </c>
      <c r="B20" s="24">
        <v>20019.0269127631</v>
      </c>
      <c r="C20" s="24">
        <v>6210.5751374900756</v>
      </c>
      <c r="D20" s="24">
        <v>3.2233772991358571</v>
      </c>
      <c r="E20" s="24">
        <v>1.4040901346775408E-3</v>
      </c>
      <c r="F20" s="24">
        <v>7798.0288513124924</v>
      </c>
      <c r="G20" s="24">
        <v>32240.024974213637</v>
      </c>
      <c r="H20" s="24">
        <v>7798.0288513124924</v>
      </c>
      <c r="I20" s="24">
        <v>32240.024974213637</v>
      </c>
    </row>
    <row r="21" spans="1:9">
      <c r="A21" s="24" t="s">
        <v>107</v>
      </c>
      <c r="B21" s="24">
        <v>-18913.992075112099</v>
      </c>
      <c r="C21" s="24">
        <v>6688.103948858231</v>
      </c>
      <c r="D21" s="24">
        <v>-2.8280050997623905</v>
      </c>
      <c r="E21" s="24">
        <v>4.9938848396990938E-3</v>
      </c>
      <c r="F21" s="24">
        <v>-32074.658130077241</v>
      </c>
      <c r="G21" s="24">
        <v>-5753.3260201468765</v>
      </c>
      <c r="H21" s="24">
        <v>-32074.658130077241</v>
      </c>
      <c r="I21" s="24">
        <v>-5753.3260201468765</v>
      </c>
    </row>
    <row r="22" spans="1:9">
      <c r="A22" s="24" t="s">
        <v>105</v>
      </c>
      <c r="B22" s="24">
        <v>-4627.7757457443204</v>
      </c>
      <c r="C22" s="24">
        <v>6248.0190656088444</v>
      </c>
      <c r="D22" s="24">
        <v>-0.74067887712077052</v>
      </c>
      <c r="E22" s="30">
        <v>0.4594579934434011</v>
      </c>
      <c r="F22" s="24">
        <v>-16922.454933793022</v>
      </c>
      <c r="G22" s="24">
        <v>7666.9034423043713</v>
      </c>
      <c r="H22" s="24">
        <v>-16922.454933793022</v>
      </c>
      <c r="I22" s="24">
        <v>7666.9034423043713</v>
      </c>
    </row>
    <row r="23" spans="1:9">
      <c r="A23" s="24" t="s">
        <v>106</v>
      </c>
      <c r="B23" s="24">
        <v>-472.88717301343701</v>
      </c>
      <c r="C23" s="24">
        <v>7067.8159490890257</v>
      </c>
      <c r="D23" s="24">
        <v>-6.6907114789030039E-2</v>
      </c>
      <c r="E23" s="30">
        <v>0.94669948596586773</v>
      </c>
      <c r="F23" s="24">
        <v>-14380.740004726229</v>
      </c>
      <c r="G23" s="24">
        <v>13434.965658699357</v>
      </c>
      <c r="H23" s="24">
        <v>-14380.740004726229</v>
      </c>
      <c r="I23" s="24">
        <v>13434.965658699357</v>
      </c>
    </row>
    <row r="24" spans="1:9">
      <c r="A24" s="24" t="s">
        <v>6</v>
      </c>
      <c r="B24" s="24">
        <v>-50218.38346839611</v>
      </c>
      <c r="C24" s="24">
        <v>35650.203741634221</v>
      </c>
      <c r="D24" s="24">
        <v>-1.4086422572039436</v>
      </c>
      <c r="E24" s="30">
        <v>0.15995956991310536</v>
      </c>
      <c r="F24" s="24">
        <v>-120369.86882550019</v>
      </c>
      <c r="G24" s="24">
        <v>19933.101888707977</v>
      </c>
      <c r="H24" s="24">
        <v>-120369.86882550019</v>
      </c>
      <c r="I24" s="24">
        <v>19933.101888707977</v>
      </c>
    </row>
    <row r="25" spans="1:9">
      <c r="A25" s="24" t="s">
        <v>5</v>
      </c>
      <c r="B25" s="24">
        <v>27.50395474180954</v>
      </c>
      <c r="C25" s="24">
        <v>2.4322789599484138</v>
      </c>
      <c r="D25" s="24">
        <v>11.307894856925815</v>
      </c>
      <c r="E25" s="24">
        <v>5.3995676801881402E-25</v>
      </c>
      <c r="F25" s="24">
        <v>22.717783445852962</v>
      </c>
      <c r="G25" s="24">
        <v>32.290126037766115</v>
      </c>
      <c r="H25" s="24">
        <v>22.717783445852962</v>
      </c>
      <c r="I25" s="24">
        <v>32.290126037766115</v>
      </c>
    </row>
    <row r="26" spans="1:9">
      <c r="A26" s="24" t="s">
        <v>7</v>
      </c>
      <c r="B26" s="24">
        <v>3358.8026466353149</v>
      </c>
      <c r="C26" s="24">
        <v>1225.8480405695818</v>
      </c>
      <c r="D26" s="24">
        <v>2.7399828816259073</v>
      </c>
      <c r="E26" s="24">
        <v>6.506188408414406E-3</v>
      </c>
      <c r="F26" s="24">
        <v>946.61276151490802</v>
      </c>
      <c r="G26" s="24">
        <v>5770.9925317557218</v>
      </c>
      <c r="H26" s="24">
        <v>946.61276151490802</v>
      </c>
      <c r="I26" s="24">
        <v>5770.9925317557218</v>
      </c>
    </row>
    <row r="27" spans="1:9">
      <c r="A27" s="24" t="s">
        <v>8</v>
      </c>
      <c r="B27" s="24">
        <v>2883.1896269331883</v>
      </c>
      <c r="C27" s="24">
        <v>450.2527919157672</v>
      </c>
      <c r="D27" s="24">
        <v>6.4034908360381078</v>
      </c>
      <c r="E27" s="24">
        <v>5.7322633927749509E-10</v>
      </c>
      <c r="F27" s="24">
        <v>1997.1946304393405</v>
      </c>
      <c r="G27" s="24">
        <v>3769.1846234270361</v>
      </c>
      <c r="H27" s="24">
        <v>1997.1946304393405</v>
      </c>
      <c r="I27" s="24">
        <v>3769.1846234270361</v>
      </c>
    </row>
    <row r="28" spans="1:9">
      <c r="A28" s="24" t="s">
        <v>4</v>
      </c>
      <c r="B28" s="24">
        <v>1.1857788135620468</v>
      </c>
      <c r="C28" s="24">
        <v>0.12336302265449652</v>
      </c>
      <c r="D28" s="24">
        <v>9.6121089451825767</v>
      </c>
      <c r="E28" s="24">
        <v>2.7949708857827573E-19</v>
      </c>
      <c r="F28" s="24">
        <v>0.94302846800796825</v>
      </c>
      <c r="G28" s="24">
        <v>1.4285291591161253</v>
      </c>
      <c r="H28" s="24">
        <v>0.94302846800796825</v>
      </c>
      <c r="I28" s="24">
        <v>1.4285291591161253</v>
      </c>
    </row>
    <row r="29" spans="1:9">
      <c r="A29" s="24" t="s">
        <v>9</v>
      </c>
      <c r="B29" s="24">
        <v>-2982.4270410560666</v>
      </c>
      <c r="C29" s="24">
        <v>564.00996845417433</v>
      </c>
      <c r="D29" s="24">
        <v>-5.2878977462583414</v>
      </c>
      <c r="E29" s="24">
        <v>2.3640308333587687E-7</v>
      </c>
      <c r="F29" s="24">
        <v>-4092.2702646746257</v>
      </c>
      <c r="G29" s="24">
        <v>-1872.5838174375074</v>
      </c>
      <c r="H29" s="24">
        <v>-4092.2702646746257</v>
      </c>
      <c r="I29" s="24">
        <v>-1872.5838174375074</v>
      </c>
    </row>
    <row r="30" spans="1:9">
      <c r="A30" s="24" t="s">
        <v>10</v>
      </c>
      <c r="B30" s="24">
        <v>15038.250352766518</v>
      </c>
      <c r="C30" s="24">
        <v>6455.8181373940442</v>
      </c>
      <c r="D30" s="24">
        <v>2.3294104686221626</v>
      </c>
      <c r="E30" s="24">
        <v>2.0490045194012908E-2</v>
      </c>
      <c r="F30" s="24">
        <v>2334.6698959563473</v>
      </c>
      <c r="G30" s="24">
        <v>27741.830809576688</v>
      </c>
      <c r="H30" s="24">
        <v>2334.6698959563473</v>
      </c>
      <c r="I30" s="24">
        <v>27741.830809576688</v>
      </c>
    </row>
    <row r="31" spans="1:9" ht="14.4" thickBot="1">
      <c r="A31" s="25" t="s">
        <v>11</v>
      </c>
      <c r="B31" s="25">
        <v>11200.820164831013</v>
      </c>
      <c r="C31" s="25">
        <v>4657.9892811104337</v>
      </c>
      <c r="D31" s="25">
        <v>2.404647045937558</v>
      </c>
      <c r="E31" s="25">
        <v>1.6783907095742897E-2</v>
      </c>
      <c r="F31" s="25">
        <v>2034.9576296401465</v>
      </c>
      <c r="G31" s="25">
        <v>20366.68270002188</v>
      </c>
      <c r="H31" s="25">
        <v>2034.9576296401465</v>
      </c>
      <c r="I31" s="25">
        <v>20366.68270002188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54D5-0647-4AB2-B619-6360E7481D34}">
  <dimension ref="A1:G15"/>
  <sheetViews>
    <sheetView topLeftCell="A4" workbookViewId="0">
      <selection activeCell="E14" sqref="E14:G14"/>
    </sheetView>
  </sheetViews>
  <sheetFormatPr defaultRowHeight="13.8"/>
  <cols>
    <col min="1" max="1" width="15.59765625" bestFit="1" customWidth="1"/>
    <col min="2" max="2" width="20.8984375" bestFit="1" customWidth="1"/>
    <col min="3" max="3" width="23.59765625" bestFit="1" customWidth="1"/>
    <col min="4" max="4" width="23.69921875" bestFit="1" customWidth="1"/>
    <col min="5" max="5" width="18.09765625" customWidth="1"/>
    <col min="6" max="6" width="8.296875" customWidth="1"/>
    <col min="7" max="7" width="12.59765625" customWidth="1"/>
  </cols>
  <sheetData>
    <row r="1" spans="1:7" ht="17.399999999999999">
      <c r="A1" s="20" t="s">
        <v>132</v>
      </c>
      <c r="B1" s="21"/>
      <c r="C1" s="21"/>
      <c r="D1" s="21"/>
      <c r="E1" s="21"/>
      <c r="F1" s="21"/>
      <c r="G1" s="21"/>
    </row>
    <row r="3" spans="1:7" ht="14.4">
      <c r="A3" s="22" t="s">
        <v>133</v>
      </c>
      <c r="B3" s="21"/>
      <c r="C3" s="21"/>
      <c r="D3" s="21"/>
      <c r="E3" s="21"/>
      <c r="F3" s="21"/>
      <c r="G3" s="21"/>
    </row>
    <row r="4" spans="1:7">
      <c r="A4" s="7"/>
      <c r="B4" s="7"/>
      <c r="C4" s="7"/>
      <c r="D4" s="7"/>
      <c r="E4" s="23"/>
      <c r="F4" s="23"/>
      <c r="G4" s="23"/>
    </row>
    <row r="5" spans="1:7" ht="31.2">
      <c r="A5" s="8" t="s">
        <v>134</v>
      </c>
      <c r="B5" s="9" t="s">
        <v>12</v>
      </c>
      <c r="C5" s="9" t="s">
        <v>12</v>
      </c>
      <c r="D5" s="9" t="s">
        <v>12</v>
      </c>
      <c r="E5" s="19" t="s">
        <v>12</v>
      </c>
      <c r="F5" s="16"/>
      <c r="G5" s="17"/>
    </row>
    <row r="6" spans="1:7" ht="76.8" customHeight="1">
      <c r="A6" s="10" t="s">
        <v>135</v>
      </c>
      <c r="B6" s="11" t="s">
        <v>5</v>
      </c>
      <c r="C6" s="11" t="s">
        <v>4</v>
      </c>
      <c r="D6" s="11" t="s">
        <v>7</v>
      </c>
      <c r="E6" s="15" t="s">
        <v>163</v>
      </c>
      <c r="F6" s="16"/>
      <c r="G6" s="17"/>
    </row>
    <row r="7" spans="1:7" ht="15.6">
      <c r="A7" s="8" t="s">
        <v>136</v>
      </c>
      <c r="B7" s="12">
        <v>0.73628534000331114</v>
      </c>
      <c r="C7" s="12">
        <v>0.16724469112487</v>
      </c>
      <c r="D7" s="12">
        <v>0.65229044698823802</v>
      </c>
      <c r="E7" s="28">
        <v>0.84108579910353964</v>
      </c>
      <c r="F7" s="28"/>
      <c r="G7" s="28"/>
    </row>
    <row r="8" spans="1:7" ht="15.6">
      <c r="A8" s="10" t="s">
        <v>137</v>
      </c>
      <c r="B8" s="12">
        <v>0.73545604861967373</v>
      </c>
      <c r="C8" s="12">
        <v>0.16462596373847024</v>
      </c>
      <c r="D8" s="12">
        <v>0.65119702072090546</v>
      </c>
      <c r="E8" s="29">
        <v>0.83379137676730863</v>
      </c>
      <c r="F8" s="29"/>
      <c r="G8" s="29"/>
    </row>
    <row r="9" spans="1:7" ht="15.6">
      <c r="A9" s="8" t="s">
        <v>138</v>
      </c>
      <c r="B9" s="9" t="s">
        <v>139</v>
      </c>
      <c r="C9" s="9" t="s">
        <v>140</v>
      </c>
      <c r="D9" s="9" t="s">
        <v>141</v>
      </c>
      <c r="E9" s="19" t="s">
        <v>142</v>
      </c>
      <c r="F9" s="16"/>
      <c r="G9" s="17"/>
    </row>
    <row r="10" spans="1:7" ht="31.8" thickBot="1">
      <c r="A10" s="10" t="s">
        <v>143</v>
      </c>
      <c r="B10" s="13">
        <v>4.7503615090054677E-94</v>
      </c>
      <c r="C10" s="13">
        <v>2.4800615101360068E-14</v>
      </c>
      <c r="D10" s="13">
        <v>6.2501017894062377E-75</v>
      </c>
      <c r="E10" s="15" t="s">
        <v>164</v>
      </c>
      <c r="F10" s="16"/>
      <c r="G10" s="17"/>
    </row>
    <row r="11" spans="1:7" ht="31.2">
      <c r="A11" s="8" t="s">
        <v>144</v>
      </c>
      <c r="B11" s="9" t="s">
        <v>165</v>
      </c>
      <c r="C11" s="9" t="s">
        <v>165</v>
      </c>
      <c r="D11" s="9" t="s">
        <v>166</v>
      </c>
      <c r="E11" s="19" t="s">
        <v>145</v>
      </c>
      <c r="F11" s="16"/>
      <c r="G11" s="17"/>
    </row>
    <row r="12" spans="1:7" ht="31.2">
      <c r="A12" s="10" t="s">
        <v>146</v>
      </c>
      <c r="B12" s="11" t="s">
        <v>147</v>
      </c>
      <c r="C12" s="11" t="s">
        <v>147</v>
      </c>
      <c r="D12" s="11" t="s">
        <v>147</v>
      </c>
      <c r="E12" s="15" t="s">
        <v>148</v>
      </c>
      <c r="F12" s="16"/>
      <c r="G12" s="17"/>
    </row>
    <row r="13" spans="1:7" ht="31.2">
      <c r="A13" s="8" t="s">
        <v>149</v>
      </c>
      <c r="B13" s="9" t="s">
        <v>150</v>
      </c>
      <c r="C13" s="9" t="s">
        <v>151</v>
      </c>
      <c r="D13" s="9" t="s">
        <v>152</v>
      </c>
      <c r="E13" s="19" t="s">
        <v>167</v>
      </c>
      <c r="F13" s="16"/>
      <c r="G13" s="17"/>
    </row>
    <row r="14" spans="1:7" ht="46.8">
      <c r="A14" s="10" t="s">
        <v>153</v>
      </c>
      <c r="B14" s="11" t="s">
        <v>154</v>
      </c>
      <c r="C14" s="11" t="s">
        <v>155</v>
      </c>
      <c r="D14" s="11" t="s">
        <v>156</v>
      </c>
      <c r="E14" s="15" t="s">
        <v>157</v>
      </c>
      <c r="F14" s="16"/>
      <c r="G14" s="17"/>
    </row>
    <row r="15" spans="1:7" ht="31.2">
      <c r="A15" s="14" t="s">
        <v>158</v>
      </c>
      <c r="B15" s="9" t="s">
        <v>159</v>
      </c>
      <c r="C15" s="9" t="s">
        <v>160</v>
      </c>
      <c r="D15" s="9" t="s">
        <v>161</v>
      </c>
      <c r="E15" s="18" t="s">
        <v>162</v>
      </c>
      <c r="F15" s="16"/>
      <c r="G15" s="17"/>
    </row>
  </sheetData>
  <mergeCells count="14">
    <mergeCell ref="E7:G7"/>
    <mergeCell ref="A1:G1"/>
    <mergeCell ref="A3:G3"/>
    <mergeCell ref="E4:G4"/>
    <mergeCell ref="E5:G5"/>
    <mergeCell ref="E6:G6"/>
    <mergeCell ref="E14:G14"/>
    <mergeCell ref="E15:G15"/>
    <mergeCell ref="E8:G8"/>
    <mergeCell ref="E9:G9"/>
    <mergeCell ref="E10:G10"/>
    <mergeCell ref="E11:G11"/>
    <mergeCell ref="E12:G12"/>
    <mergeCell ref="E13:G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21"/>
  <sheetViews>
    <sheetView topLeftCell="I1" workbookViewId="0">
      <selection activeCell="S2" sqref="S2"/>
    </sheetView>
  </sheetViews>
  <sheetFormatPr defaultRowHeight="13.8"/>
  <cols>
    <col min="1" max="1" width="9.19921875" bestFit="1" customWidth="1"/>
    <col min="2" max="2" width="7.5" bestFit="1" customWidth="1"/>
    <col min="3" max="3" width="6.5" bestFit="1" customWidth="1"/>
    <col min="4" max="4" width="10.296875" bestFit="1" customWidth="1"/>
    <col min="5" max="5" width="12.3984375" bestFit="1" customWidth="1"/>
    <col min="6" max="6" width="12.69921875" bestFit="1" customWidth="1"/>
    <col min="7" max="7" width="12" bestFit="1" customWidth="1"/>
    <col min="8" max="9" width="16" customWidth="1"/>
    <col min="10" max="10" width="9.59765625" bestFit="1" customWidth="1"/>
    <col min="11" max="11" width="16.3984375" customWidth="1"/>
    <col min="12" max="12" width="6.8984375" bestFit="1" customWidth="1"/>
    <col min="13" max="13" width="10.59765625" bestFit="1" customWidth="1"/>
    <col min="14" max="14" width="23.69921875" bestFit="1" customWidth="1"/>
    <col min="15" max="15" width="16.19921875" bestFit="1" customWidth="1"/>
    <col min="16" max="16" width="22.796875" bestFit="1" customWidth="1"/>
    <col min="17" max="17" width="11.5" bestFit="1" customWidth="1"/>
    <col min="18" max="18" width="15.296875" bestFit="1" customWidth="1"/>
    <col min="19" max="20" width="13.796875" bestFit="1" customWidth="1"/>
  </cols>
  <sheetData>
    <row r="1" spans="1:20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102</v>
      </c>
      <c r="F1" s="1" t="s">
        <v>103</v>
      </c>
      <c r="G1" s="1" t="s">
        <v>104</v>
      </c>
      <c r="H1" s="1" t="s">
        <v>107</v>
      </c>
      <c r="I1" s="1" t="s">
        <v>105</v>
      </c>
      <c r="J1" s="1" t="s">
        <v>106</v>
      </c>
      <c r="K1" s="1" t="s">
        <v>6</v>
      </c>
      <c r="L1" s="1" t="s">
        <v>5</v>
      </c>
      <c r="M1" s="1" t="s">
        <v>7</v>
      </c>
      <c r="N1" s="1" t="s">
        <v>8</v>
      </c>
      <c r="O1" s="1" t="s">
        <v>4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f t="shared" ref="E2:E65" si="0">IF(C3="North",1,0)</f>
        <v>0</v>
      </c>
      <c r="F2">
        <f t="shared" ref="F2:F65" si="1">IF(C3="South",1,0)</f>
        <v>0</v>
      </c>
      <c r="G2">
        <f t="shared" ref="G2:G65" si="2">IF(C3="West",1,0)</f>
        <v>0</v>
      </c>
      <c r="H2">
        <f>IF(D3="Residential",1,0)</f>
        <v>1</v>
      </c>
      <c r="I2">
        <f t="shared" ref="I2:I65" si="3">IF(D2="High Street",1,0)</f>
        <v>0</v>
      </c>
      <c r="J2">
        <f t="shared" ref="J2:J65" si="4">IF(D3="Mall",1,0)</f>
        <v>0</v>
      </c>
      <c r="K2">
        <v>4.2000000000000003E-2</v>
      </c>
      <c r="L2">
        <v>8302</v>
      </c>
      <c r="M2">
        <v>17</v>
      </c>
      <c r="N2">
        <v>75</v>
      </c>
      <c r="O2">
        <v>70389.11</v>
      </c>
      <c r="P2">
        <v>5.28</v>
      </c>
      <c r="Q2">
        <v>1</v>
      </c>
      <c r="R2">
        <v>3.1</v>
      </c>
      <c r="S2">
        <v>658832.62</v>
      </c>
      <c r="T2">
        <v>84349.93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f t="shared" si="0"/>
        <v>0</v>
      </c>
      <c r="F3">
        <f t="shared" si="1"/>
        <v>0</v>
      </c>
      <c r="G3">
        <f t="shared" si="2"/>
        <v>0</v>
      </c>
      <c r="H3">
        <f t="shared" ref="H3:H66" si="5">IF(D4="Residential",1,0)</f>
        <v>1</v>
      </c>
      <c r="I3">
        <f t="shared" si="3"/>
        <v>0</v>
      </c>
      <c r="J3">
        <f t="shared" si="4"/>
        <v>0</v>
      </c>
      <c r="K3">
        <v>0.16800000000000001</v>
      </c>
      <c r="L3">
        <v>8487</v>
      </c>
      <c r="M3">
        <v>23</v>
      </c>
      <c r="N3">
        <v>84.4</v>
      </c>
      <c r="O3">
        <v>43827.89</v>
      </c>
      <c r="P3">
        <v>4.3099999999999996</v>
      </c>
      <c r="Q3">
        <v>0</v>
      </c>
      <c r="R3">
        <v>2.8</v>
      </c>
      <c r="S3">
        <v>634436</v>
      </c>
      <c r="T3">
        <v>106130.54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f t="shared" si="0"/>
        <v>0</v>
      </c>
      <c r="F4">
        <f t="shared" si="1"/>
        <v>0</v>
      </c>
      <c r="G4">
        <f t="shared" si="2"/>
        <v>0</v>
      </c>
      <c r="H4">
        <f t="shared" si="5"/>
        <v>1</v>
      </c>
      <c r="I4">
        <f t="shared" si="3"/>
        <v>0</v>
      </c>
      <c r="J4">
        <f t="shared" si="4"/>
        <v>0</v>
      </c>
      <c r="K4">
        <v>0.13300000000000001</v>
      </c>
      <c r="L4">
        <v>9113</v>
      </c>
      <c r="M4">
        <v>20</v>
      </c>
      <c r="N4">
        <v>88</v>
      </c>
      <c r="O4">
        <v>59921.75</v>
      </c>
      <c r="P4">
        <v>12</v>
      </c>
      <c r="Q4">
        <v>0</v>
      </c>
      <c r="R4">
        <v>3.2</v>
      </c>
      <c r="S4">
        <v>678722.06</v>
      </c>
      <c r="T4">
        <v>101883.86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f t="shared" si="0"/>
        <v>0</v>
      </c>
      <c r="F5">
        <f t="shared" si="1"/>
        <v>0</v>
      </c>
      <c r="G5">
        <f t="shared" si="2"/>
        <v>0</v>
      </c>
      <c r="H5">
        <f t="shared" si="5"/>
        <v>0</v>
      </c>
      <c r="I5">
        <f t="shared" si="3"/>
        <v>0</v>
      </c>
      <c r="J5">
        <f t="shared" si="4"/>
        <v>0</v>
      </c>
      <c r="K5">
        <v>0.14199999999999999</v>
      </c>
      <c r="L5">
        <v>9431</v>
      </c>
      <c r="M5">
        <v>23</v>
      </c>
      <c r="N5">
        <v>86.9</v>
      </c>
      <c r="O5">
        <v>56856.63</v>
      </c>
      <c r="P5">
        <v>4.97</v>
      </c>
      <c r="Q5">
        <v>0</v>
      </c>
      <c r="R5">
        <v>3.4</v>
      </c>
      <c r="S5">
        <v>658920.30000000005</v>
      </c>
      <c r="T5">
        <v>97910.37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f t="shared" si="0"/>
        <v>0</v>
      </c>
      <c r="F6">
        <f t="shared" si="1"/>
        <v>0</v>
      </c>
      <c r="G6">
        <f t="shared" si="2"/>
        <v>0</v>
      </c>
      <c r="H6">
        <f t="shared" si="5"/>
        <v>0</v>
      </c>
      <c r="I6">
        <f t="shared" si="3"/>
        <v>1</v>
      </c>
      <c r="J6">
        <f t="shared" si="4"/>
        <v>0</v>
      </c>
      <c r="K6">
        <v>0.23100000000000001</v>
      </c>
      <c r="L6">
        <v>9545</v>
      </c>
      <c r="M6">
        <v>21</v>
      </c>
      <c r="N6">
        <v>97.6</v>
      </c>
      <c r="O6">
        <v>48412.639999999999</v>
      </c>
      <c r="P6">
        <v>6.94</v>
      </c>
      <c r="Q6">
        <v>1</v>
      </c>
      <c r="R6">
        <v>4.2</v>
      </c>
      <c r="S6">
        <v>741341.44</v>
      </c>
      <c r="T6">
        <v>119208.17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5"/>
        <v>0</v>
      </c>
      <c r="I7">
        <f t="shared" si="3"/>
        <v>1</v>
      </c>
      <c r="J7">
        <f t="shared" si="4"/>
        <v>0</v>
      </c>
      <c r="K7">
        <v>0.112</v>
      </c>
      <c r="L7">
        <v>9792</v>
      </c>
      <c r="M7">
        <v>20</v>
      </c>
      <c r="N7">
        <v>84.2</v>
      </c>
      <c r="O7">
        <v>64811.21</v>
      </c>
      <c r="P7">
        <v>2.88</v>
      </c>
      <c r="Q7">
        <v>0</v>
      </c>
      <c r="R7">
        <v>4.2</v>
      </c>
      <c r="S7">
        <v>761835.34</v>
      </c>
      <c r="T7">
        <v>149602.23000000001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f t="shared" si="0"/>
        <v>0</v>
      </c>
      <c r="F8">
        <f t="shared" si="1"/>
        <v>0</v>
      </c>
      <c r="G8">
        <f t="shared" si="2"/>
        <v>0</v>
      </c>
      <c r="H8">
        <f t="shared" si="5"/>
        <v>0</v>
      </c>
      <c r="I8">
        <f t="shared" si="3"/>
        <v>1</v>
      </c>
      <c r="J8">
        <f t="shared" si="4"/>
        <v>0</v>
      </c>
      <c r="K8">
        <v>0.122</v>
      </c>
      <c r="L8">
        <v>10616</v>
      </c>
      <c r="M8">
        <v>22</v>
      </c>
      <c r="N8">
        <v>85.2</v>
      </c>
      <c r="O8">
        <v>46213.45</v>
      </c>
      <c r="P8">
        <v>0.2</v>
      </c>
      <c r="Q8">
        <v>1</v>
      </c>
      <c r="R8">
        <v>4.0999999999999996</v>
      </c>
      <c r="S8">
        <v>806615.54</v>
      </c>
      <c r="T8">
        <v>131364.62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f t="shared" si="0"/>
        <v>1</v>
      </c>
      <c r="F9">
        <f t="shared" si="1"/>
        <v>0</v>
      </c>
      <c r="G9">
        <f t="shared" si="2"/>
        <v>0</v>
      </c>
      <c r="H9">
        <f t="shared" si="5"/>
        <v>0</v>
      </c>
      <c r="I9">
        <f t="shared" si="3"/>
        <v>1</v>
      </c>
      <c r="J9">
        <f t="shared" si="4"/>
        <v>0</v>
      </c>
      <c r="K9">
        <v>0.127</v>
      </c>
      <c r="L9">
        <v>8567</v>
      </c>
      <c r="M9">
        <v>23</v>
      </c>
      <c r="N9">
        <v>95.6</v>
      </c>
      <c r="O9">
        <v>68148.52</v>
      </c>
      <c r="P9">
        <v>0.8</v>
      </c>
      <c r="Q9">
        <v>0</v>
      </c>
      <c r="R9">
        <v>3.9</v>
      </c>
      <c r="S9">
        <v>850164.26</v>
      </c>
      <c r="T9">
        <v>149262.75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f t="shared" si="0"/>
        <v>1</v>
      </c>
      <c r="F10">
        <f t="shared" si="1"/>
        <v>0</v>
      </c>
      <c r="G10">
        <f t="shared" si="2"/>
        <v>0</v>
      </c>
      <c r="H10">
        <f t="shared" si="5"/>
        <v>0</v>
      </c>
      <c r="I10">
        <f t="shared" si="3"/>
        <v>0</v>
      </c>
      <c r="J10">
        <f t="shared" si="4"/>
        <v>0</v>
      </c>
      <c r="K10">
        <v>0.215</v>
      </c>
      <c r="L10">
        <v>10979</v>
      </c>
      <c r="M10">
        <v>26</v>
      </c>
      <c r="N10">
        <v>88.6</v>
      </c>
      <c r="O10">
        <v>71838.86</v>
      </c>
      <c r="P10">
        <v>7.7</v>
      </c>
      <c r="Q10">
        <v>1</v>
      </c>
      <c r="R10">
        <v>3.8</v>
      </c>
      <c r="S10">
        <v>930581.7</v>
      </c>
      <c r="T10">
        <v>136207.98000000001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f t="shared" si="0"/>
        <v>1</v>
      </c>
      <c r="F11">
        <f t="shared" si="1"/>
        <v>0</v>
      </c>
      <c r="G11">
        <f t="shared" si="2"/>
        <v>0</v>
      </c>
      <c r="H11">
        <f t="shared" si="5"/>
        <v>0</v>
      </c>
      <c r="I11">
        <f t="shared" si="3"/>
        <v>0</v>
      </c>
      <c r="J11">
        <f t="shared" si="4"/>
        <v>0</v>
      </c>
      <c r="K11">
        <v>0.22</v>
      </c>
      <c r="L11">
        <v>9459</v>
      </c>
      <c r="M11">
        <v>21</v>
      </c>
      <c r="N11">
        <v>85</v>
      </c>
      <c r="O11">
        <v>68133.440000000002</v>
      </c>
      <c r="P11">
        <v>1.91</v>
      </c>
      <c r="Q11">
        <v>0</v>
      </c>
      <c r="R11">
        <v>4.2</v>
      </c>
      <c r="S11">
        <v>779010.94</v>
      </c>
      <c r="T11">
        <v>106328.09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f t="shared" si="0"/>
        <v>1</v>
      </c>
      <c r="F12">
        <f t="shared" si="1"/>
        <v>0</v>
      </c>
      <c r="G12">
        <f t="shared" si="2"/>
        <v>0</v>
      </c>
      <c r="H12">
        <f t="shared" si="5"/>
        <v>0</v>
      </c>
      <c r="I12">
        <f t="shared" si="3"/>
        <v>0</v>
      </c>
      <c r="J12">
        <f t="shared" si="4"/>
        <v>0</v>
      </c>
      <c r="K12">
        <v>0.21299999999999999</v>
      </c>
      <c r="L12">
        <v>9172</v>
      </c>
      <c r="M12">
        <v>22</v>
      </c>
      <c r="N12">
        <v>88.3</v>
      </c>
      <c r="O12">
        <v>34285.21</v>
      </c>
      <c r="P12">
        <v>10.46</v>
      </c>
      <c r="Q12">
        <v>1</v>
      </c>
      <c r="R12">
        <v>3.8</v>
      </c>
      <c r="S12">
        <v>723060.76</v>
      </c>
      <c r="T12">
        <v>123131.24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f t="shared" si="0"/>
        <v>0</v>
      </c>
      <c r="F13">
        <f t="shared" si="1"/>
        <v>0</v>
      </c>
      <c r="G13">
        <f t="shared" si="2"/>
        <v>0</v>
      </c>
      <c r="H13">
        <f t="shared" si="5"/>
        <v>1</v>
      </c>
      <c r="I13">
        <f t="shared" si="3"/>
        <v>0</v>
      </c>
      <c r="J13">
        <f t="shared" si="4"/>
        <v>0</v>
      </c>
      <c r="K13">
        <v>2E-3</v>
      </c>
      <c r="L13">
        <v>11230</v>
      </c>
      <c r="M13">
        <v>28</v>
      </c>
      <c r="N13">
        <v>85.3</v>
      </c>
      <c r="O13">
        <v>67979.88</v>
      </c>
      <c r="P13">
        <v>7.16</v>
      </c>
      <c r="Q13">
        <v>0</v>
      </c>
      <c r="R13">
        <v>3.8</v>
      </c>
      <c r="S13">
        <v>910791.94</v>
      </c>
      <c r="T13">
        <v>158891.28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5"/>
        <v>1</v>
      </c>
      <c r="I14">
        <f t="shared" si="3"/>
        <v>0</v>
      </c>
      <c r="J14">
        <f t="shared" si="4"/>
        <v>0</v>
      </c>
      <c r="K14">
        <v>0.11600000000000001</v>
      </c>
      <c r="L14">
        <v>12775</v>
      </c>
      <c r="M14">
        <v>30</v>
      </c>
      <c r="N14">
        <v>81.7</v>
      </c>
      <c r="O14">
        <v>71828.259999999995</v>
      </c>
      <c r="P14">
        <v>4.24</v>
      </c>
      <c r="Q14">
        <v>1</v>
      </c>
      <c r="R14">
        <v>4.2</v>
      </c>
      <c r="S14">
        <v>922168.6</v>
      </c>
      <c r="T14">
        <v>107494.53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f t="shared" si="0"/>
        <v>0</v>
      </c>
      <c r="F15">
        <f t="shared" si="1"/>
        <v>0</v>
      </c>
      <c r="G15">
        <f t="shared" si="2"/>
        <v>0</v>
      </c>
      <c r="H15">
        <f t="shared" si="5"/>
        <v>1</v>
      </c>
      <c r="I15">
        <f t="shared" si="3"/>
        <v>0</v>
      </c>
      <c r="J15">
        <f t="shared" si="4"/>
        <v>0</v>
      </c>
      <c r="K15">
        <v>0.14599999999999999</v>
      </c>
      <c r="L15">
        <v>10054</v>
      </c>
      <c r="M15">
        <v>24</v>
      </c>
      <c r="N15">
        <v>84.9</v>
      </c>
      <c r="O15">
        <v>55716.82</v>
      </c>
      <c r="P15">
        <v>1.06</v>
      </c>
      <c r="Q15">
        <v>0</v>
      </c>
      <c r="R15">
        <v>4.3</v>
      </c>
      <c r="S15">
        <v>726606.28</v>
      </c>
      <c r="T15">
        <v>122729.29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f t="shared" si="0"/>
        <v>0</v>
      </c>
      <c r="F16">
        <f t="shared" si="1"/>
        <v>0</v>
      </c>
      <c r="G16">
        <f t="shared" si="2"/>
        <v>0</v>
      </c>
      <c r="H16">
        <f t="shared" si="5"/>
        <v>1</v>
      </c>
      <c r="I16">
        <f t="shared" si="3"/>
        <v>0</v>
      </c>
      <c r="J16">
        <f t="shared" si="4"/>
        <v>0</v>
      </c>
      <c r="K16">
        <v>0.22800000000000001</v>
      </c>
      <c r="L16">
        <v>8895</v>
      </c>
      <c r="M16">
        <v>23</v>
      </c>
      <c r="N16">
        <v>88.8</v>
      </c>
      <c r="O16">
        <v>59909.51</v>
      </c>
      <c r="P16">
        <v>0.27</v>
      </c>
      <c r="Q16">
        <v>0</v>
      </c>
      <c r="R16">
        <v>4.3</v>
      </c>
      <c r="S16">
        <v>746501.09</v>
      </c>
      <c r="T16">
        <v>136816.72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f t="shared" si="0"/>
        <v>0</v>
      </c>
      <c r="F17">
        <f t="shared" si="1"/>
        <v>1</v>
      </c>
      <c r="G17">
        <f t="shared" si="2"/>
        <v>0</v>
      </c>
      <c r="H17">
        <f t="shared" si="5"/>
        <v>1</v>
      </c>
      <c r="I17">
        <f t="shared" si="3"/>
        <v>0</v>
      </c>
      <c r="J17">
        <f t="shared" si="4"/>
        <v>0</v>
      </c>
      <c r="K17">
        <v>6.0000000000000001E-3</v>
      </c>
      <c r="L17">
        <v>10940</v>
      </c>
      <c r="M17">
        <v>26</v>
      </c>
      <c r="N17">
        <v>76.5</v>
      </c>
      <c r="O17">
        <v>75305.710000000006</v>
      </c>
      <c r="P17">
        <v>1.32</v>
      </c>
      <c r="Q17">
        <v>0</v>
      </c>
      <c r="R17">
        <v>4.5</v>
      </c>
      <c r="S17">
        <v>834017.02</v>
      </c>
      <c r="T17">
        <v>114745.03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f t="shared" si="0"/>
        <v>0</v>
      </c>
      <c r="F18">
        <f t="shared" si="1"/>
        <v>1</v>
      </c>
      <c r="G18">
        <f t="shared" si="2"/>
        <v>0</v>
      </c>
      <c r="H18">
        <f t="shared" si="5"/>
        <v>1</v>
      </c>
      <c r="I18">
        <f t="shared" si="3"/>
        <v>0</v>
      </c>
      <c r="J18">
        <f t="shared" si="4"/>
        <v>0</v>
      </c>
      <c r="K18">
        <v>5.0000000000000001E-3</v>
      </c>
      <c r="L18">
        <v>7057</v>
      </c>
      <c r="M18">
        <v>15</v>
      </c>
      <c r="N18">
        <v>87.7</v>
      </c>
      <c r="O18">
        <v>48804.22</v>
      </c>
      <c r="P18">
        <v>1.22</v>
      </c>
      <c r="Q18">
        <v>0</v>
      </c>
      <c r="R18">
        <v>3.7</v>
      </c>
      <c r="S18">
        <v>666152.52</v>
      </c>
      <c r="T18">
        <v>107490.58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f t="shared" si="0"/>
        <v>0</v>
      </c>
      <c r="F19">
        <f t="shared" si="1"/>
        <v>1</v>
      </c>
      <c r="G19">
        <f t="shared" si="2"/>
        <v>0</v>
      </c>
      <c r="H19">
        <f t="shared" si="5"/>
        <v>1</v>
      </c>
      <c r="I19">
        <f t="shared" si="3"/>
        <v>0</v>
      </c>
      <c r="J19">
        <f t="shared" si="4"/>
        <v>0</v>
      </c>
      <c r="K19">
        <v>0.11899999999999999</v>
      </c>
      <c r="L19">
        <v>4263</v>
      </c>
      <c r="M19">
        <v>9</v>
      </c>
      <c r="N19">
        <v>87.6</v>
      </c>
      <c r="O19">
        <v>59117.9</v>
      </c>
      <c r="P19">
        <v>4.01</v>
      </c>
      <c r="Q19">
        <v>0</v>
      </c>
      <c r="R19">
        <v>3.6</v>
      </c>
      <c r="S19">
        <v>573155.18999999994</v>
      </c>
      <c r="T19">
        <v>83680.75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f t="shared" si="0"/>
        <v>0</v>
      </c>
      <c r="F20">
        <f t="shared" si="1"/>
        <v>1</v>
      </c>
      <c r="G20">
        <f t="shared" si="2"/>
        <v>0</v>
      </c>
      <c r="H20">
        <f t="shared" si="5"/>
        <v>1</v>
      </c>
      <c r="I20">
        <f t="shared" si="3"/>
        <v>0</v>
      </c>
      <c r="J20">
        <f t="shared" si="4"/>
        <v>0</v>
      </c>
      <c r="K20">
        <v>0</v>
      </c>
      <c r="L20">
        <v>5538</v>
      </c>
      <c r="M20">
        <v>15</v>
      </c>
      <c r="N20">
        <v>94.1</v>
      </c>
      <c r="O20">
        <v>78831.12</v>
      </c>
      <c r="P20">
        <v>0.2</v>
      </c>
      <c r="Q20">
        <v>0</v>
      </c>
      <c r="R20">
        <v>3.9</v>
      </c>
      <c r="S20">
        <v>666573.19999999995</v>
      </c>
      <c r="T20">
        <v>140641.01999999999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f t="shared" si="0"/>
        <v>1</v>
      </c>
      <c r="F21">
        <f t="shared" si="1"/>
        <v>0</v>
      </c>
      <c r="G21">
        <f t="shared" si="2"/>
        <v>0</v>
      </c>
      <c r="H21">
        <f t="shared" si="5"/>
        <v>1</v>
      </c>
      <c r="I21">
        <f t="shared" si="3"/>
        <v>0</v>
      </c>
      <c r="J21">
        <f t="shared" si="4"/>
        <v>0</v>
      </c>
      <c r="K21">
        <v>0.158</v>
      </c>
      <c r="L21">
        <v>4865</v>
      </c>
      <c r="M21">
        <v>16</v>
      </c>
      <c r="N21">
        <v>88.3</v>
      </c>
      <c r="O21">
        <v>41441.93</v>
      </c>
      <c r="P21">
        <v>0.5</v>
      </c>
      <c r="Q21">
        <v>0</v>
      </c>
      <c r="R21">
        <v>4</v>
      </c>
      <c r="S21">
        <v>591619.94999999995</v>
      </c>
      <c r="T21">
        <v>99521.35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f t="shared" si="0"/>
        <v>1</v>
      </c>
      <c r="F22">
        <f t="shared" si="1"/>
        <v>0</v>
      </c>
      <c r="G22">
        <f t="shared" si="2"/>
        <v>0</v>
      </c>
      <c r="H22">
        <f t="shared" si="5"/>
        <v>1</v>
      </c>
      <c r="I22">
        <f t="shared" si="3"/>
        <v>0</v>
      </c>
      <c r="J22">
        <f t="shared" si="4"/>
        <v>0</v>
      </c>
      <c r="K22">
        <v>0.23100000000000001</v>
      </c>
      <c r="L22">
        <v>2822</v>
      </c>
      <c r="M22">
        <v>9</v>
      </c>
      <c r="N22">
        <v>84.8</v>
      </c>
      <c r="O22">
        <v>30356.28</v>
      </c>
      <c r="P22">
        <v>6.95</v>
      </c>
      <c r="Q22">
        <v>0</v>
      </c>
      <c r="R22">
        <v>5</v>
      </c>
      <c r="S22">
        <v>415721.82</v>
      </c>
      <c r="T22">
        <v>61179.15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f t="shared" si="0"/>
        <v>1</v>
      </c>
      <c r="F23">
        <f t="shared" si="1"/>
        <v>0</v>
      </c>
      <c r="G23">
        <f t="shared" si="2"/>
        <v>0</v>
      </c>
      <c r="H23">
        <f t="shared" si="5"/>
        <v>1</v>
      </c>
      <c r="I23">
        <f t="shared" si="3"/>
        <v>0</v>
      </c>
      <c r="J23">
        <f t="shared" si="4"/>
        <v>0</v>
      </c>
      <c r="K23">
        <v>0.17599999999999999</v>
      </c>
      <c r="L23">
        <v>2121</v>
      </c>
      <c r="M23">
        <v>8</v>
      </c>
      <c r="N23">
        <v>88.5</v>
      </c>
      <c r="O23">
        <v>33518.879999999997</v>
      </c>
      <c r="P23">
        <v>0.2</v>
      </c>
      <c r="Q23">
        <v>0</v>
      </c>
      <c r="R23">
        <v>5</v>
      </c>
      <c r="S23">
        <v>491905.13</v>
      </c>
      <c r="T23">
        <v>79212.259999999995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f t="shared" si="0"/>
        <v>1</v>
      </c>
      <c r="F24">
        <f t="shared" si="1"/>
        <v>0</v>
      </c>
      <c r="G24">
        <f t="shared" si="2"/>
        <v>0</v>
      </c>
      <c r="H24">
        <f t="shared" si="5"/>
        <v>1</v>
      </c>
      <c r="I24">
        <f t="shared" si="3"/>
        <v>0</v>
      </c>
      <c r="J24">
        <f t="shared" si="4"/>
        <v>0</v>
      </c>
      <c r="K24">
        <v>0.16</v>
      </c>
      <c r="L24">
        <v>3364</v>
      </c>
      <c r="M24">
        <v>13</v>
      </c>
      <c r="N24">
        <v>82</v>
      </c>
      <c r="O24">
        <v>42267.37</v>
      </c>
      <c r="P24">
        <v>1.61</v>
      </c>
      <c r="Q24">
        <v>1</v>
      </c>
      <c r="R24">
        <v>4.5999999999999996</v>
      </c>
      <c r="S24">
        <v>555929.4</v>
      </c>
      <c r="T24">
        <v>115201.76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f t="shared" si="0"/>
        <v>0</v>
      </c>
      <c r="F25">
        <f t="shared" si="1"/>
        <v>0</v>
      </c>
      <c r="G25">
        <f t="shared" si="2"/>
        <v>1</v>
      </c>
      <c r="H25">
        <f t="shared" si="5"/>
        <v>0</v>
      </c>
      <c r="I25">
        <f t="shared" si="3"/>
        <v>0</v>
      </c>
      <c r="J25">
        <f t="shared" si="4"/>
        <v>1</v>
      </c>
      <c r="K25">
        <v>0.216</v>
      </c>
      <c r="L25">
        <v>2613</v>
      </c>
      <c r="M25">
        <v>12</v>
      </c>
      <c r="N25">
        <v>92.1</v>
      </c>
      <c r="O25">
        <v>62060.43</v>
      </c>
      <c r="P25">
        <v>1.55</v>
      </c>
      <c r="Q25">
        <v>0</v>
      </c>
      <c r="R25">
        <v>4.7</v>
      </c>
      <c r="S25">
        <v>565810.99</v>
      </c>
      <c r="T25">
        <v>77825.460000000006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f t="shared" si="0"/>
        <v>0</v>
      </c>
      <c r="F26">
        <f t="shared" si="1"/>
        <v>0</v>
      </c>
      <c r="G26">
        <f t="shared" si="2"/>
        <v>1</v>
      </c>
      <c r="H26">
        <f t="shared" si="5"/>
        <v>0</v>
      </c>
      <c r="I26">
        <f t="shared" si="3"/>
        <v>0</v>
      </c>
      <c r="J26">
        <f t="shared" si="4"/>
        <v>1</v>
      </c>
      <c r="K26">
        <v>0.121</v>
      </c>
      <c r="L26">
        <v>10218</v>
      </c>
      <c r="M26">
        <v>25</v>
      </c>
      <c r="N26">
        <v>94.8</v>
      </c>
      <c r="O26">
        <v>57696.69</v>
      </c>
      <c r="P26">
        <v>2.99</v>
      </c>
      <c r="Q26">
        <v>0</v>
      </c>
      <c r="R26">
        <v>3.5</v>
      </c>
      <c r="S26">
        <v>811771.14</v>
      </c>
      <c r="T26">
        <v>148756.24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f t="shared" si="0"/>
        <v>0</v>
      </c>
      <c r="F27">
        <f t="shared" si="1"/>
        <v>0</v>
      </c>
      <c r="G27">
        <f t="shared" si="2"/>
        <v>1</v>
      </c>
      <c r="H27">
        <f t="shared" si="5"/>
        <v>0</v>
      </c>
      <c r="I27">
        <f t="shared" si="3"/>
        <v>0</v>
      </c>
      <c r="J27">
        <f t="shared" si="4"/>
        <v>1</v>
      </c>
      <c r="K27">
        <v>0.14000000000000001</v>
      </c>
      <c r="L27">
        <v>8927</v>
      </c>
      <c r="M27">
        <v>22</v>
      </c>
      <c r="N27">
        <v>86.2</v>
      </c>
      <c r="O27">
        <v>172415.52</v>
      </c>
      <c r="P27">
        <v>7.04</v>
      </c>
      <c r="Q27">
        <v>0</v>
      </c>
      <c r="R27">
        <v>3.9</v>
      </c>
      <c r="S27">
        <v>800451.94</v>
      </c>
      <c r="T27">
        <v>111572.29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f t="shared" si="0"/>
        <v>0</v>
      </c>
      <c r="F28">
        <f t="shared" si="1"/>
        <v>0</v>
      </c>
      <c r="G28">
        <f t="shared" si="2"/>
        <v>1</v>
      </c>
      <c r="H28">
        <f t="shared" si="5"/>
        <v>0</v>
      </c>
      <c r="I28">
        <f t="shared" si="3"/>
        <v>0</v>
      </c>
      <c r="J28">
        <f t="shared" si="4"/>
        <v>1</v>
      </c>
      <c r="K28">
        <v>0.16900000000000001</v>
      </c>
      <c r="L28">
        <v>9315</v>
      </c>
      <c r="M28">
        <v>23</v>
      </c>
      <c r="N28">
        <v>91.9</v>
      </c>
      <c r="O28">
        <v>55270.52</v>
      </c>
      <c r="P28">
        <v>4.9400000000000004</v>
      </c>
      <c r="Q28">
        <v>0</v>
      </c>
      <c r="R28">
        <v>4</v>
      </c>
      <c r="S28">
        <v>783672.82</v>
      </c>
      <c r="T28">
        <v>112577.14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f t="shared" si="0"/>
        <v>0</v>
      </c>
      <c r="F29">
        <f t="shared" si="1"/>
        <v>0</v>
      </c>
      <c r="G29">
        <f t="shared" si="2"/>
        <v>0</v>
      </c>
      <c r="H29">
        <f t="shared" si="5"/>
        <v>1</v>
      </c>
      <c r="I29">
        <f t="shared" si="3"/>
        <v>0</v>
      </c>
      <c r="J29">
        <f t="shared" si="4"/>
        <v>0</v>
      </c>
      <c r="K29">
        <v>0.122</v>
      </c>
      <c r="L29">
        <v>7223</v>
      </c>
      <c r="M29">
        <v>16</v>
      </c>
      <c r="N29">
        <v>84.2</v>
      </c>
      <c r="O29">
        <v>52715.1</v>
      </c>
      <c r="P29">
        <v>16.149999999999999</v>
      </c>
      <c r="Q29">
        <v>0</v>
      </c>
      <c r="R29">
        <v>3.7</v>
      </c>
      <c r="S29">
        <v>701641.97</v>
      </c>
      <c r="T29">
        <v>106111.86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f t="shared" si="0"/>
        <v>0</v>
      </c>
      <c r="F30">
        <f t="shared" si="1"/>
        <v>0</v>
      </c>
      <c r="G30">
        <f t="shared" si="2"/>
        <v>0</v>
      </c>
      <c r="H30">
        <f t="shared" si="5"/>
        <v>1</v>
      </c>
      <c r="I30">
        <f t="shared" si="3"/>
        <v>0</v>
      </c>
      <c r="J30">
        <f t="shared" si="4"/>
        <v>0</v>
      </c>
      <c r="K30">
        <v>0.124</v>
      </c>
      <c r="L30">
        <v>3988</v>
      </c>
      <c r="M30">
        <v>11</v>
      </c>
      <c r="N30">
        <v>85</v>
      </c>
      <c r="O30">
        <v>68600.62</v>
      </c>
      <c r="P30">
        <v>0.48</v>
      </c>
      <c r="Q30">
        <v>0</v>
      </c>
      <c r="R30">
        <v>3.6</v>
      </c>
      <c r="S30">
        <v>511844.41</v>
      </c>
      <c r="T30">
        <v>72774.44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5"/>
        <v>1</v>
      </c>
      <c r="I31">
        <f t="shared" si="3"/>
        <v>0</v>
      </c>
      <c r="J31">
        <f t="shared" si="4"/>
        <v>0</v>
      </c>
      <c r="K31">
        <v>0.216</v>
      </c>
      <c r="L31">
        <v>2390</v>
      </c>
      <c r="M31">
        <v>9</v>
      </c>
      <c r="N31">
        <v>87.5</v>
      </c>
      <c r="O31">
        <v>63176.73</v>
      </c>
      <c r="P31">
        <v>0.31</v>
      </c>
      <c r="Q31">
        <v>0</v>
      </c>
      <c r="R31">
        <v>3.1</v>
      </c>
      <c r="S31">
        <v>537383.79</v>
      </c>
      <c r="T31">
        <v>63773.27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f t="shared" si="0"/>
        <v>0</v>
      </c>
      <c r="F32">
        <f t="shared" si="1"/>
        <v>0</v>
      </c>
      <c r="G32">
        <f t="shared" si="2"/>
        <v>0</v>
      </c>
      <c r="H32">
        <f t="shared" si="5"/>
        <v>1</v>
      </c>
      <c r="I32">
        <f t="shared" si="3"/>
        <v>0</v>
      </c>
      <c r="J32">
        <f t="shared" si="4"/>
        <v>0</v>
      </c>
      <c r="K32">
        <v>0.13600000000000001</v>
      </c>
      <c r="L32">
        <v>2471</v>
      </c>
      <c r="M32">
        <v>11</v>
      </c>
      <c r="N32">
        <v>87.6</v>
      </c>
      <c r="O32">
        <v>44970.080000000002</v>
      </c>
      <c r="P32">
        <v>3.01</v>
      </c>
      <c r="Q32">
        <v>1</v>
      </c>
      <c r="R32">
        <v>3.7</v>
      </c>
      <c r="S32">
        <v>500173.02</v>
      </c>
      <c r="T32">
        <v>70982.05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f t="shared" si="0"/>
        <v>1</v>
      </c>
      <c r="F33">
        <f t="shared" si="1"/>
        <v>0</v>
      </c>
      <c r="G33">
        <f t="shared" si="2"/>
        <v>0</v>
      </c>
      <c r="H33">
        <f t="shared" si="5"/>
        <v>1</v>
      </c>
      <c r="I33">
        <f t="shared" si="3"/>
        <v>0</v>
      </c>
      <c r="J33">
        <f t="shared" si="4"/>
        <v>0</v>
      </c>
      <c r="K33">
        <v>0.16800000000000001</v>
      </c>
      <c r="L33">
        <v>971</v>
      </c>
      <c r="M33">
        <v>5</v>
      </c>
      <c r="N33">
        <v>89.9</v>
      </c>
      <c r="O33">
        <v>69816.350000000006</v>
      </c>
      <c r="P33">
        <v>12.15</v>
      </c>
      <c r="Q33">
        <v>0</v>
      </c>
      <c r="R33">
        <v>3.6</v>
      </c>
      <c r="S33">
        <v>427917.38</v>
      </c>
      <c r="T33">
        <v>81824.31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f t="shared" si="0"/>
        <v>1</v>
      </c>
      <c r="F34">
        <f t="shared" si="1"/>
        <v>0</v>
      </c>
      <c r="G34">
        <f t="shared" si="2"/>
        <v>0</v>
      </c>
      <c r="H34">
        <f t="shared" si="5"/>
        <v>1</v>
      </c>
      <c r="I34">
        <f t="shared" si="3"/>
        <v>0</v>
      </c>
      <c r="J34">
        <f t="shared" si="4"/>
        <v>0</v>
      </c>
      <c r="K34">
        <v>0.188</v>
      </c>
      <c r="L34">
        <v>9429</v>
      </c>
      <c r="M34">
        <v>21</v>
      </c>
      <c r="N34">
        <v>83.3</v>
      </c>
      <c r="O34">
        <v>54597.83</v>
      </c>
      <c r="P34">
        <v>11.71</v>
      </c>
      <c r="Q34">
        <v>0</v>
      </c>
      <c r="R34">
        <v>4.2</v>
      </c>
      <c r="S34">
        <v>641865.03</v>
      </c>
      <c r="T34">
        <v>81342.58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f t="shared" si="0"/>
        <v>1</v>
      </c>
      <c r="F35">
        <f t="shared" si="1"/>
        <v>0</v>
      </c>
      <c r="G35">
        <f t="shared" si="2"/>
        <v>0</v>
      </c>
      <c r="H35">
        <f t="shared" si="5"/>
        <v>1</v>
      </c>
      <c r="I35">
        <f t="shared" si="3"/>
        <v>0</v>
      </c>
      <c r="J35">
        <f t="shared" si="4"/>
        <v>0</v>
      </c>
      <c r="K35">
        <v>7.0000000000000007E-2</v>
      </c>
      <c r="L35">
        <v>11695</v>
      </c>
      <c r="M35">
        <v>25</v>
      </c>
      <c r="N35">
        <v>84.7</v>
      </c>
      <c r="O35">
        <v>73771.91</v>
      </c>
      <c r="P35">
        <v>0.62</v>
      </c>
      <c r="Q35">
        <v>0</v>
      </c>
      <c r="R35">
        <v>4</v>
      </c>
      <c r="S35">
        <v>799477.76000000001</v>
      </c>
      <c r="T35">
        <v>164974.41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f t="shared" si="0"/>
        <v>1</v>
      </c>
      <c r="F36">
        <f t="shared" si="1"/>
        <v>0</v>
      </c>
      <c r="G36">
        <f t="shared" si="2"/>
        <v>0</v>
      </c>
      <c r="H36">
        <f t="shared" si="5"/>
        <v>1</v>
      </c>
      <c r="I36">
        <f t="shared" si="3"/>
        <v>0</v>
      </c>
      <c r="J36">
        <f t="shared" si="4"/>
        <v>0</v>
      </c>
      <c r="K36">
        <v>3.9E-2</v>
      </c>
      <c r="L36">
        <v>9449</v>
      </c>
      <c r="M36">
        <v>23</v>
      </c>
      <c r="N36">
        <v>92.1</v>
      </c>
      <c r="O36">
        <v>74413.88</v>
      </c>
      <c r="P36">
        <v>2.12</v>
      </c>
      <c r="Q36">
        <v>0</v>
      </c>
      <c r="R36">
        <v>3.5</v>
      </c>
      <c r="S36">
        <v>798952.17</v>
      </c>
      <c r="T36">
        <v>161499.04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f t="shared" si="0"/>
        <v>1</v>
      </c>
      <c r="F37">
        <f t="shared" si="1"/>
        <v>0</v>
      </c>
      <c r="G37">
        <f t="shared" si="2"/>
        <v>0</v>
      </c>
      <c r="H37">
        <f t="shared" si="5"/>
        <v>0</v>
      </c>
      <c r="I37">
        <f t="shared" si="3"/>
        <v>0</v>
      </c>
      <c r="J37">
        <f t="shared" si="4"/>
        <v>1</v>
      </c>
      <c r="K37">
        <v>0.247</v>
      </c>
      <c r="L37">
        <v>10453</v>
      </c>
      <c r="M37">
        <v>25</v>
      </c>
      <c r="N37">
        <v>99</v>
      </c>
      <c r="O37">
        <v>52483.77</v>
      </c>
      <c r="P37">
        <v>6.31</v>
      </c>
      <c r="Q37">
        <v>0</v>
      </c>
      <c r="R37">
        <v>3.6</v>
      </c>
      <c r="S37">
        <v>800979.78</v>
      </c>
      <c r="T37">
        <v>149242.26999999999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f t="shared" si="0"/>
        <v>1</v>
      </c>
      <c r="F38">
        <f t="shared" si="1"/>
        <v>0</v>
      </c>
      <c r="G38">
        <f t="shared" si="2"/>
        <v>0</v>
      </c>
      <c r="H38">
        <f t="shared" si="5"/>
        <v>0</v>
      </c>
      <c r="I38">
        <f t="shared" si="3"/>
        <v>0</v>
      </c>
      <c r="J38">
        <f t="shared" si="4"/>
        <v>1</v>
      </c>
      <c r="K38">
        <v>9.1999999999999998E-2</v>
      </c>
      <c r="L38">
        <v>8838</v>
      </c>
      <c r="M38">
        <v>21</v>
      </c>
      <c r="N38">
        <v>83.1</v>
      </c>
      <c r="O38">
        <v>75269.87</v>
      </c>
      <c r="P38">
        <v>9.56</v>
      </c>
      <c r="Q38">
        <v>1</v>
      </c>
      <c r="R38">
        <v>4.2</v>
      </c>
      <c r="S38">
        <v>820593.93</v>
      </c>
      <c r="T38">
        <v>115860.06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f t="shared" si="0"/>
        <v>1</v>
      </c>
      <c r="F39">
        <f t="shared" si="1"/>
        <v>0</v>
      </c>
      <c r="G39">
        <f t="shared" si="2"/>
        <v>0</v>
      </c>
      <c r="H39">
        <f t="shared" si="5"/>
        <v>0</v>
      </c>
      <c r="I39">
        <f t="shared" si="3"/>
        <v>0</v>
      </c>
      <c r="J39">
        <f t="shared" si="4"/>
        <v>1</v>
      </c>
      <c r="K39">
        <v>0.156</v>
      </c>
      <c r="L39">
        <v>8156</v>
      </c>
      <c r="M39">
        <v>19</v>
      </c>
      <c r="N39">
        <v>92.9</v>
      </c>
      <c r="O39">
        <v>61245.41</v>
      </c>
      <c r="P39">
        <v>9.0500000000000007</v>
      </c>
      <c r="Q39">
        <v>0</v>
      </c>
      <c r="R39">
        <v>3.8</v>
      </c>
      <c r="S39">
        <v>718330.53</v>
      </c>
      <c r="T39">
        <v>93247.9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f t="shared" si="0"/>
        <v>1</v>
      </c>
      <c r="F40">
        <f t="shared" si="1"/>
        <v>0</v>
      </c>
      <c r="G40">
        <f t="shared" si="2"/>
        <v>0</v>
      </c>
      <c r="H40">
        <f t="shared" si="5"/>
        <v>0</v>
      </c>
      <c r="I40">
        <f t="shared" si="3"/>
        <v>0</v>
      </c>
      <c r="J40">
        <f t="shared" si="4"/>
        <v>1</v>
      </c>
      <c r="K40">
        <v>0.19800000000000001</v>
      </c>
      <c r="L40">
        <v>7562</v>
      </c>
      <c r="M40">
        <v>19</v>
      </c>
      <c r="N40">
        <v>82.9</v>
      </c>
      <c r="O40">
        <v>93381.26</v>
      </c>
      <c r="P40">
        <v>5.05</v>
      </c>
      <c r="Q40">
        <v>0</v>
      </c>
      <c r="R40">
        <v>4</v>
      </c>
      <c r="S40">
        <v>736633.4</v>
      </c>
      <c r="T40">
        <v>115654.66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f t="shared" si="0"/>
        <v>0</v>
      </c>
      <c r="F41">
        <f t="shared" si="1"/>
        <v>0</v>
      </c>
      <c r="G41">
        <f t="shared" si="2"/>
        <v>0</v>
      </c>
      <c r="H41">
        <f t="shared" si="5"/>
        <v>0</v>
      </c>
      <c r="I41">
        <f t="shared" si="3"/>
        <v>0</v>
      </c>
      <c r="J41">
        <f t="shared" si="4"/>
        <v>1</v>
      </c>
      <c r="K41">
        <v>8.5000000000000006E-2</v>
      </c>
      <c r="L41">
        <v>9598</v>
      </c>
      <c r="M41">
        <v>24</v>
      </c>
      <c r="N41">
        <v>98.3</v>
      </c>
      <c r="O41">
        <v>65012.19</v>
      </c>
      <c r="P41">
        <v>0.89</v>
      </c>
      <c r="Q41">
        <v>0</v>
      </c>
      <c r="R41">
        <v>3.8</v>
      </c>
      <c r="S41">
        <v>828623.85</v>
      </c>
      <c r="T41">
        <v>167320.51999999999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f t="shared" si="0"/>
        <v>0</v>
      </c>
      <c r="F42">
        <f t="shared" si="1"/>
        <v>0</v>
      </c>
      <c r="G42">
        <f t="shared" si="2"/>
        <v>0</v>
      </c>
      <c r="H42">
        <f t="shared" si="5"/>
        <v>0</v>
      </c>
      <c r="I42">
        <f t="shared" si="3"/>
        <v>0</v>
      </c>
      <c r="J42">
        <f t="shared" si="4"/>
        <v>1</v>
      </c>
      <c r="K42">
        <v>0.218</v>
      </c>
      <c r="L42">
        <v>3660</v>
      </c>
      <c r="M42">
        <v>11</v>
      </c>
      <c r="N42">
        <v>95.2</v>
      </c>
      <c r="O42">
        <v>40462.94</v>
      </c>
      <c r="P42">
        <v>5.57</v>
      </c>
      <c r="Q42">
        <v>0</v>
      </c>
      <c r="R42">
        <v>4.4000000000000004</v>
      </c>
      <c r="S42">
        <v>592195.85</v>
      </c>
      <c r="T42">
        <v>92291.56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f t="shared" si="0"/>
        <v>0</v>
      </c>
      <c r="F43">
        <f t="shared" si="1"/>
        <v>0</v>
      </c>
      <c r="G43">
        <f t="shared" si="2"/>
        <v>0</v>
      </c>
      <c r="H43">
        <f t="shared" si="5"/>
        <v>0</v>
      </c>
      <c r="I43">
        <f t="shared" si="3"/>
        <v>0</v>
      </c>
      <c r="J43">
        <f t="shared" si="4"/>
        <v>1</v>
      </c>
      <c r="K43">
        <v>0.14299999999999999</v>
      </c>
      <c r="L43">
        <v>3227</v>
      </c>
      <c r="M43">
        <v>10</v>
      </c>
      <c r="N43">
        <v>75.400000000000006</v>
      </c>
      <c r="O43">
        <v>46123.88</v>
      </c>
      <c r="P43">
        <v>1.06</v>
      </c>
      <c r="Q43">
        <v>0</v>
      </c>
      <c r="R43">
        <v>4.4000000000000004</v>
      </c>
      <c r="S43">
        <v>532644.46</v>
      </c>
      <c r="T43">
        <v>60681.32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f t="shared" si="0"/>
        <v>0</v>
      </c>
      <c r="F44">
        <f t="shared" si="1"/>
        <v>0</v>
      </c>
      <c r="G44">
        <f t="shared" si="2"/>
        <v>0</v>
      </c>
      <c r="H44">
        <f t="shared" si="5"/>
        <v>0</v>
      </c>
      <c r="I44">
        <f t="shared" si="3"/>
        <v>0</v>
      </c>
      <c r="J44">
        <f t="shared" si="4"/>
        <v>1</v>
      </c>
      <c r="K44">
        <v>0.128</v>
      </c>
      <c r="L44">
        <v>3360</v>
      </c>
      <c r="M44">
        <v>14</v>
      </c>
      <c r="N44">
        <v>88.2</v>
      </c>
      <c r="O44">
        <v>68077.539999999994</v>
      </c>
      <c r="P44">
        <v>1.24</v>
      </c>
      <c r="Q44">
        <v>1</v>
      </c>
      <c r="R44">
        <v>4</v>
      </c>
      <c r="S44">
        <v>657429.18000000005</v>
      </c>
      <c r="T44">
        <v>88919.74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f t="shared" si="0"/>
        <v>0</v>
      </c>
      <c r="F45">
        <f t="shared" si="1"/>
        <v>0</v>
      </c>
      <c r="G45">
        <f t="shared" si="2"/>
        <v>1</v>
      </c>
      <c r="H45">
        <f t="shared" si="5"/>
        <v>1</v>
      </c>
      <c r="I45">
        <f t="shared" si="3"/>
        <v>0</v>
      </c>
      <c r="J45">
        <f t="shared" si="4"/>
        <v>0</v>
      </c>
      <c r="K45">
        <v>1.9E-2</v>
      </c>
      <c r="L45">
        <v>3642</v>
      </c>
      <c r="M45">
        <v>13</v>
      </c>
      <c r="N45">
        <v>87.8</v>
      </c>
      <c r="O45">
        <v>64882.14</v>
      </c>
      <c r="P45">
        <v>4.5199999999999996</v>
      </c>
      <c r="Q45">
        <v>0</v>
      </c>
      <c r="R45">
        <v>4.2</v>
      </c>
      <c r="S45">
        <v>605178</v>
      </c>
      <c r="T45">
        <v>106958.74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f t="shared" si="0"/>
        <v>0</v>
      </c>
      <c r="F46">
        <f t="shared" si="1"/>
        <v>0</v>
      </c>
      <c r="G46">
        <f t="shared" si="2"/>
        <v>1</v>
      </c>
      <c r="H46">
        <f t="shared" si="5"/>
        <v>1</v>
      </c>
      <c r="I46">
        <f t="shared" si="3"/>
        <v>0</v>
      </c>
      <c r="J46">
        <f t="shared" si="4"/>
        <v>0</v>
      </c>
      <c r="K46">
        <v>0.06</v>
      </c>
      <c r="L46">
        <v>5145</v>
      </c>
      <c r="M46">
        <v>17</v>
      </c>
      <c r="N46">
        <v>88.2</v>
      </c>
      <c r="O46">
        <v>138855.51</v>
      </c>
      <c r="P46">
        <v>9.58</v>
      </c>
      <c r="Q46">
        <v>0</v>
      </c>
      <c r="R46">
        <v>3.2</v>
      </c>
      <c r="S46">
        <v>595467.6</v>
      </c>
      <c r="T46">
        <v>104276.46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f t="shared" si="0"/>
        <v>0</v>
      </c>
      <c r="F47">
        <f t="shared" si="1"/>
        <v>0</v>
      </c>
      <c r="G47">
        <f t="shared" si="2"/>
        <v>1</v>
      </c>
      <c r="H47">
        <f t="shared" si="5"/>
        <v>1</v>
      </c>
      <c r="I47">
        <f t="shared" si="3"/>
        <v>0</v>
      </c>
      <c r="J47">
        <f t="shared" si="4"/>
        <v>0</v>
      </c>
      <c r="K47">
        <v>0.23499999999999999</v>
      </c>
      <c r="L47">
        <v>4460</v>
      </c>
      <c r="M47">
        <v>14</v>
      </c>
      <c r="N47">
        <v>98.6</v>
      </c>
      <c r="O47">
        <v>63630.21</v>
      </c>
      <c r="P47">
        <v>5.52</v>
      </c>
      <c r="Q47">
        <v>0</v>
      </c>
      <c r="R47">
        <v>3.5</v>
      </c>
      <c r="S47">
        <v>599603.4</v>
      </c>
      <c r="T47">
        <v>112685.12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f t="shared" si="0"/>
        <v>0</v>
      </c>
      <c r="F48">
        <f t="shared" si="1"/>
        <v>0</v>
      </c>
      <c r="G48">
        <f t="shared" si="2"/>
        <v>1</v>
      </c>
      <c r="H48">
        <f t="shared" si="5"/>
        <v>1</v>
      </c>
      <c r="I48">
        <f t="shared" si="3"/>
        <v>0</v>
      </c>
      <c r="J48">
        <f t="shared" si="4"/>
        <v>0</v>
      </c>
      <c r="K48">
        <v>0.113</v>
      </c>
      <c r="L48">
        <v>3804</v>
      </c>
      <c r="M48">
        <v>11</v>
      </c>
      <c r="N48">
        <v>90.9</v>
      </c>
      <c r="O48">
        <v>50043.65</v>
      </c>
      <c r="P48">
        <v>2.7</v>
      </c>
      <c r="Q48">
        <v>1</v>
      </c>
      <c r="R48">
        <v>3.2</v>
      </c>
      <c r="S48">
        <v>614800.09</v>
      </c>
      <c r="T48">
        <v>100044.2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f t="shared" si="0"/>
        <v>1</v>
      </c>
      <c r="F49">
        <f t="shared" si="1"/>
        <v>0</v>
      </c>
      <c r="G49">
        <f t="shared" si="2"/>
        <v>0</v>
      </c>
      <c r="H49">
        <f t="shared" si="5"/>
        <v>0</v>
      </c>
      <c r="I49">
        <f t="shared" si="3"/>
        <v>0</v>
      </c>
      <c r="J49">
        <f t="shared" si="4"/>
        <v>1</v>
      </c>
      <c r="K49">
        <v>0.155</v>
      </c>
      <c r="L49">
        <v>4074</v>
      </c>
      <c r="M49">
        <v>15</v>
      </c>
      <c r="N49">
        <v>88</v>
      </c>
      <c r="O49">
        <v>42093.84</v>
      </c>
      <c r="P49">
        <v>9.64</v>
      </c>
      <c r="Q49">
        <v>0</v>
      </c>
      <c r="R49">
        <v>3.3</v>
      </c>
      <c r="S49">
        <v>585365.73</v>
      </c>
      <c r="T49">
        <v>81011.520000000004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f t="shared" si="0"/>
        <v>1</v>
      </c>
      <c r="F50">
        <f t="shared" si="1"/>
        <v>0</v>
      </c>
      <c r="G50">
        <f t="shared" si="2"/>
        <v>0</v>
      </c>
      <c r="H50">
        <f t="shared" si="5"/>
        <v>0</v>
      </c>
      <c r="I50">
        <f t="shared" si="3"/>
        <v>0</v>
      </c>
      <c r="J50">
        <f t="shared" si="4"/>
        <v>1</v>
      </c>
      <c r="K50">
        <v>0.109</v>
      </c>
      <c r="L50">
        <v>5104</v>
      </c>
      <c r="M50">
        <v>11</v>
      </c>
      <c r="N50">
        <v>97.3</v>
      </c>
      <c r="O50">
        <v>46624.05</v>
      </c>
      <c r="P50">
        <v>3.49</v>
      </c>
      <c r="Q50">
        <v>1</v>
      </c>
      <c r="R50">
        <v>4.7</v>
      </c>
      <c r="S50">
        <v>622811.74</v>
      </c>
      <c r="T50">
        <v>109978.35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f t="shared" si="0"/>
        <v>1</v>
      </c>
      <c r="F51">
        <f t="shared" si="1"/>
        <v>0</v>
      </c>
      <c r="G51">
        <f t="shared" si="2"/>
        <v>0</v>
      </c>
      <c r="H51">
        <f t="shared" si="5"/>
        <v>0</v>
      </c>
      <c r="I51">
        <f t="shared" si="3"/>
        <v>0</v>
      </c>
      <c r="J51">
        <f t="shared" si="4"/>
        <v>1</v>
      </c>
      <c r="K51">
        <v>0.218</v>
      </c>
      <c r="L51">
        <v>5559</v>
      </c>
      <c r="M51">
        <v>14</v>
      </c>
      <c r="N51">
        <v>71</v>
      </c>
      <c r="O51">
        <v>49710.29</v>
      </c>
      <c r="P51">
        <v>9.11</v>
      </c>
      <c r="Q51">
        <v>0</v>
      </c>
      <c r="R51">
        <v>4.5999999999999996</v>
      </c>
      <c r="S51">
        <v>603297.56999999995</v>
      </c>
      <c r="T51">
        <v>60592.26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f t="shared" si="0"/>
        <v>1</v>
      </c>
      <c r="F52">
        <f t="shared" si="1"/>
        <v>0</v>
      </c>
      <c r="G52">
        <f t="shared" si="2"/>
        <v>0</v>
      </c>
      <c r="H52">
        <f t="shared" si="5"/>
        <v>0</v>
      </c>
      <c r="I52">
        <f t="shared" si="3"/>
        <v>0</v>
      </c>
      <c r="J52">
        <f t="shared" si="4"/>
        <v>1</v>
      </c>
      <c r="K52">
        <v>8.0000000000000002E-3</v>
      </c>
      <c r="L52">
        <v>5150</v>
      </c>
      <c r="M52">
        <v>12</v>
      </c>
      <c r="N52">
        <v>80.400000000000006</v>
      </c>
      <c r="O52">
        <v>48287.85</v>
      </c>
      <c r="P52">
        <v>7.4</v>
      </c>
      <c r="Q52">
        <v>0</v>
      </c>
      <c r="R52">
        <v>4.5</v>
      </c>
      <c r="S52">
        <v>625672.86</v>
      </c>
      <c r="T52">
        <v>118020.12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f t="shared" si="0"/>
        <v>0</v>
      </c>
      <c r="F53">
        <f t="shared" si="1"/>
        <v>0</v>
      </c>
      <c r="G53">
        <f t="shared" si="2"/>
        <v>1</v>
      </c>
      <c r="H53">
        <f t="shared" si="5"/>
        <v>0</v>
      </c>
      <c r="I53">
        <f t="shared" si="3"/>
        <v>0</v>
      </c>
      <c r="J53">
        <f t="shared" si="4"/>
        <v>0</v>
      </c>
      <c r="K53">
        <v>0.05</v>
      </c>
      <c r="L53">
        <v>7189</v>
      </c>
      <c r="M53">
        <v>19</v>
      </c>
      <c r="N53">
        <v>93.7</v>
      </c>
      <c r="O53">
        <v>65312.49</v>
      </c>
      <c r="P53">
        <v>7.16</v>
      </c>
      <c r="Q53">
        <v>0</v>
      </c>
      <c r="R53">
        <v>4.5999999999999996</v>
      </c>
      <c r="S53">
        <v>773815.14</v>
      </c>
      <c r="T53">
        <v>133948.39000000001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f t="shared" si="0"/>
        <v>0</v>
      </c>
      <c r="F54">
        <f t="shared" si="1"/>
        <v>0</v>
      </c>
      <c r="G54">
        <f t="shared" si="2"/>
        <v>1</v>
      </c>
      <c r="H54">
        <f t="shared" si="5"/>
        <v>0</v>
      </c>
      <c r="I54">
        <f t="shared" si="3"/>
        <v>1</v>
      </c>
      <c r="J54">
        <f t="shared" si="4"/>
        <v>0</v>
      </c>
      <c r="K54">
        <v>8.6999999999999994E-2</v>
      </c>
      <c r="L54">
        <v>3279</v>
      </c>
      <c r="M54">
        <v>9</v>
      </c>
      <c r="N54">
        <v>84.3</v>
      </c>
      <c r="O54">
        <v>53015.46</v>
      </c>
      <c r="P54">
        <v>22.02</v>
      </c>
      <c r="Q54">
        <v>0</v>
      </c>
      <c r="R54">
        <v>3.9</v>
      </c>
      <c r="S54">
        <v>463534.25</v>
      </c>
      <c r="T54">
        <v>81834.539999999994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f t="shared" si="0"/>
        <v>0</v>
      </c>
      <c r="F55">
        <f t="shared" si="1"/>
        <v>0</v>
      </c>
      <c r="G55">
        <f t="shared" si="2"/>
        <v>1</v>
      </c>
      <c r="H55">
        <f t="shared" si="5"/>
        <v>0</v>
      </c>
      <c r="I55">
        <f t="shared" si="3"/>
        <v>1</v>
      </c>
      <c r="J55">
        <f t="shared" si="4"/>
        <v>0</v>
      </c>
      <c r="K55">
        <v>0.26200000000000001</v>
      </c>
      <c r="L55">
        <v>5887</v>
      </c>
      <c r="M55">
        <v>14</v>
      </c>
      <c r="N55">
        <v>88.7</v>
      </c>
      <c r="O55">
        <v>99874.01</v>
      </c>
      <c r="P55">
        <v>6.18</v>
      </c>
      <c r="Q55">
        <v>0</v>
      </c>
      <c r="R55">
        <v>4.7</v>
      </c>
      <c r="S55">
        <v>746677.75</v>
      </c>
      <c r="T55">
        <v>122437.84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f t="shared" si="0"/>
        <v>0</v>
      </c>
      <c r="F56">
        <f t="shared" si="1"/>
        <v>0</v>
      </c>
      <c r="G56">
        <f t="shared" si="2"/>
        <v>1</v>
      </c>
      <c r="H56">
        <f t="shared" si="5"/>
        <v>0</v>
      </c>
      <c r="I56">
        <f t="shared" si="3"/>
        <v>1</v>
      </c>
      <c r="J56">
        <f t="shared" si="4"/>
        <v>0</v>
      </c>
      <c r="K56">
        <v>0.106</v>
      </c>
      <c r="L56">
        <v>5516</v>
      </c>
      <c r="M56">
        <v>14</v>
      </c>
      <c r="N56">
        <v>88</v>
      </c>
      <c r="O56">
        <v>81195.5</v>
      </c>
      <c r="P56">
        <v>1.76</v>
      </c>
      <c r="Q56">
        <v>0</v>
      </c>
      <c r="R56">
        <v>4.3</v>
      </c>
      <c r="S56">
        <v>720852.5</v>
      </c>
      <c r="T56">
        <v>98565.62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f t="shared" si="0"/>
        <v>0</v>
      </c>
      <c r="F57">
        <f t="shared" si="1"/>
        <v>0</v>
      </c>
      <c r="G57">
        <f t="shared" si="2"/>
        <v>0</v>
      </c>
      <c r="H57">
        <f t="shared" si="5"/>
        <v>0</v>
      </c>
      <c r="I57">
        <f t="shared" si="3"/>
        <v>1</v>
      </c>
      <c r="J57">
        <f t="shared" si="4"/>
        <v>0</v>
      </c>
      <c r="K57">
        <v>0.08</v>
      </c>
      <c r="L57">
        <v>2863</v>
      </c>
      <c r="M57">
        <v>13</v>
      </c>
      <c r="N57">
        <v>89.3</v>
      </c>
      <c r="O57">
        <v>27808.6</v>
      </c>
      <c r="P57">
        <v>0.47</v>
      </c>
      <c r="Q57">
        <v>0</v>
      </c>
      <c r="R57">
        <v>4.0999999999999996</v>
      </c>
      <c r="S57">
        <v>487464.91</v>
      </c>
      <c r="T57">
        <v>64562.26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f t="shared" si="0"/>
        <v>0</v>
      </c>
      <c r="F58">
        <f t="shared" si="1"/>
        <v>0</v>
      </c>
      <c r="G58">
        <f t="shared" si="2"/>
        <v>0</v>
      </c>
      <c r="H58">
        <f t="shared" si="5"/>
        <v>0</v>
      </c>
      <c r="I58">
        <f t="shared" si="3"/>
        <v>0</v>
      </c>
      <c r="J58">
        <f t="shared" si="4"/>
        <v>0</v>
      </c>
      <c r="K58">
        <v>0</v>
      </c>
      <c r="L58">
        <v>2378</v>
      </c>
      <c r="M58">
        <v>12</v>
      </c>
      <c r="N58">
        <v>94.8</v>
      </c>
      <c r="O58">
        <v>19365.060000000001</v>
      </c>
      <c r="P58">
        <v>0.2</v>
      </c>
      <c r="Q58">
        <v>0</v>
      </c>
      <c r="R58">
        <v>3.5</v>
      </c>
      <c r="S58">
        <v>518049.26</v>
      </c>
      <c r="T58">
        <v>108592.49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f t="shared" si="0"/>
        <v>0</v>
      </c>
      <c r="F59">
        <f t="shared" si="1"/>
        <v>0</v>
      </c>
      <c r="G59">
        <f t="shared" si="2"/>
        <v>0</v>
      </c>
      <c r="H59">
        <f t="shared" si="5"/>
        <v>0</v>
      </c>
      <c r="I59">
        <f t="shared" si="3"/>
        <v>0</v>
      </c>
      <c r="J59">
        <f t="shared" si="4"/>
        <v>0</v>
      </c>
      <c r="K59">
        <v>3.9E-2</v>
      </c>
      <c r="L59">
        <v>2515</v>
      </c>
      <c r="M59">
        <v>12</v>
      </c>
      <c r="N59">
        <v>76</v>
      </c>
      <c r="O59">
        <v>59405.68</v>
      </c>
      <c r="P59">
        <v>5.1100000000000003</v>
      </c>
      <c r="Q59">
        <v>0</v>
      </c>
      <c r="R59">
        <v>3.7</v>
      </c>
      <c r="S59">
        <v>500298.48</v>
      </c>
      <c r="T59">
        <v>73461.320000000007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f t="shared" si="0"/>
        <v>0</v>
      </c>
      <c r="F60">
        <f t="shared" si="1"/>
        <v>0</v>
      </c>
      <c r="G60">
        <f t="shared" si="2"/>
        <v>0</v>
      </c>
      <c r="H60">
        <f t="shared" si="5"/>
        <v>0</v>
      </c>
      <c r="I60">
        <f t="shared" si="3"/>
        <v>0</v>
      </c>
      <c r="J60">
        <f t="shared" si="4"/>
        <v>0</v>
      </c>
      <c r="K60">
        <v>0.13700000000000001</v>
      </c>
      <c r="L60">
        <v>4022</v>
      </c>
      <c r="M60">
        <v>11</v>
      </c>
      <c r="N60">
        <v>87.1</v>
      </c>
      <c r="O60">
        <v>118910.48</v>
      </c>
      <c r="P60">
        <v>0.2</v>
      </c>
      <c r="Q60">
        <v>0</v>
      </c>
      <c r="R60">
        <v>3.1</v>
      </c>
      <c r="S60">
        <v>617291.15</v>
      </c>
      <c r="T60">
        <v>117782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f t="shared" si="0"/>
        <v>0</v>
      </c>
      <c r="F61">
        <f t="shared" si="1"/>
        <v>1</v>
      </c>
      <c r="G61">
        <f t="shared" si="2"/>
        <v>0</v>
      </c>
      <c r="H61">
        <f t="shared" si="5"/>
        <v>0</v>
      </c>
      <c r="I61">
        <f t="shared" si="3"/>
        <v>0</v>
      </c>
      <c r="J61">
        <f t="shared" si="4"/>
        <v>0</v>
      </c>
      <c r="K61">
        <v>9.1999999999999998E-2</v>
      </c>
      <c r="L61">
        <v>4377</v>
      </c>
      <c r="M61">
        <v>14</v>
      </c>
      <c r="N61">
        <v>88.6</v>
      </c>
      <c r="O61">
        <v>52952.12</v>
      </c>
      <c r="P61">
        <v>13.59</v>
      </c>
      <c r="Q61">
        <v>0</v>
      </c>
      <c r="R61">
        <v>3.1</v>
      </c>
      <c r="S61">
        <v>553756.43000000005</v>
      </c>
      <c r="T61">
        <v>86166.77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f t="shared" si="0"/>
        <v>0</v>
      </c>
      <c r="F62">
        <f t="shared" si="1"/>
        <v>1</v>
      </c>
      <c r="G62">
        <f t="shared" si="2"/>
        <v>0</v>
      </c>
      <c r="H62">
        <f t="shared" si="5"/>
        <v>0</v>
      </c>
      <c r="I62">
        <f t="shared" si="3"/>
        <v>1</v>
      </c>
      <c r="J62">
        <f t="shared" si="4"/>
        <v>0</v>
      </c>
      <c r="K62">
        <v>6.2E-2</v>
      </c>
      <c r="L62">
        <v>5306</v>
      </c>
      <c r="M62">
        <v>16</v>
      </c>
      <c r="N62">
        <v>95.6</v>
      </c>
      <c r="O62">
        <v>74907.98</v>
      </c>
      <c r="P62">
        <v>1.02</v>
      </c>
      <c r="Q62">
        <v>0</v>
      </c>
      <c r="R62">
        <v>3.7</v>
      </c>
      <c r="S62">
        <v>749559.71</v>
      </c>
      <c r="T62">
        <v>144522.53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f t="shared" si="0"/>
        <v>0</v>
      </c>
      <c r="F63">
        <f t="shared" si="1"/>
        <v>1</v>
      </c>
      <c r="G63">
        <f t="shared" si="2"/>
        <v>0</v>
      </c>
      <c r="H63">
        <f t="shared" si="5"/>
        <v>0</v>
      </c>
      <c r="I63">
        <f t="shared" si="3"/>
        <v>1</v>
      </c>
      <c r="J63">
        <f t="shared" si="4"/>
        <v>0</v>
      </c>
      <c r="K63">
        <v>7.3999999999999996E-2</v>
      </c>
      <c r="L63">
        <v>3928</v>
      </c>
      <c r="M63">
        <v>12</v>
      </c>
      <c r="N63">
        <v>86.5</v>
      </c>
      <c r="O63">
        <v>37284.660000000003</v>
      </c>
      <c r="P63">
        <v>1.64</v>
      </c>
      <c r="Q63">
        <v>0</v>
      </c>
      <c r="R63">
        <v>3.8</v>
      </c>
      <c r="S63">
        <v>615966.48</v>
      </c>
      <c r="T63">
        <v>91509.38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f t="shared" si="0"/>
        <v>0</v>
      </c>
      <c r="F64">
        <f t="shared" si="1"/>
        <v>1</v>
      </c>
      <c r="G64">
        <f t="shared" si="2"/>
        <v>0</v>
      </c>
      <c r="H64">
        <f t="shared" si="5"/>
        <v>0</v>
      </c>
      <c r="I64">
        <f t="shared" si="3"/>
        <v>1</v>
      </c>
      <c r="J64">
        <f t="shared" si="4"/>
        <v>0</v>
      </c>
      <c r="K64">
        <v>0.113</v>
      </c>
      <c r="L64">
        <v>3845</v>
      </c>
      <c r="M64">
        <v>9</v>
      </c>
      <c r="N64">
        <v>88.7</v>
      </c>
      <c r="O64">
        <v>50343.19</v>
      </c>
      <c r="P64">
        <v>5.15</v>
      </c>
      <c r="Q64">
        <v>0</v>
      </c>
      <c r="R64">
        <v>3.3</v>
      </c>
      <c r="S64">
        <v>572011.19999999995</v>
      </c>
      <c r="T64">
        <v>101409.68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f t="shared" si="0"/>
        <v>0</v>
      </c>
      <c r="F65">
        <f t="shared" si="1"/>
        <v>0</v>
      </c>
      <c r="G65">
        <f t="shared" si="2"/>
        <v>1</v>
      </c>
      <c r="H65">
        <f t="shared" si="5"/>
        <v>0</v>
      </c>
      <c r="I65">
        <f t="shared" si="3"/>
        <v>1</v>
      </c>
      <c r="J65">
        <f t="shared" si="4"/>
        <v>0</v>
      </c>
      <c r="K65">
        <v>5.3999999999999999E-2</v>
      </c>
      <c r="L65">
        <v>6620</v>
      </c>
      <c r="M65">
        <v>17</v>
      </c>
      <c r="N65">
        <v>91.1</v>
      </c>
      <c r="O65">
        <v>74954.47</v>
      </c>
      <c r="P65">
        <v>1.1100000000000001</v>
      </c>
      <c r="Q65">
        <v>0</v>
      </c>
      <c r="R65">
        <v>3.5</v>
      </c>
      <c r="S65">
        <v>761860.19</v>
      </c>
      <c r="T65">
        <v>133279.38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f t="shared" ref="E66:E129" si="6">IF(C67="North",1,0)</f>
        <v>0</v>
      </c>
      <c r="F66">
        <f t="shared" ref="F66:F129" si="7">IF(C67="South",1,0)</f>
        <v>0</v>
      </c>
      <c r="G66">
        <f t="shared" ref="G66:G129" si="8">IF(C67="West",1,0)</f>
        <v>1</v>
      </c>
      <c r="H66">
        <f t="shared" si="5"/>
        <v>0</v>
      </c>
      <c r="I66">
        <f t="shared" ref="I66:I129" si="9">IF(D66="High Street",1,0)</f>
        <v>1</v>
      </c>
      <c r="J66">
        <f t="shared" ref="J66:J129" si="10">IF(D67="Mall",1,0)</f>
        <v>0</v>
      </c>
      <c r="K66">
        <v>0.107</v>
      </c>
      <c r="L66">
        <v>9175</v>
      </c>
      <c r="M66">
        <v>23</v>
      </c>
      <c r="N66">
        <v>95.1</v>
      </c>
      <c r="O66">
        <v>70040.31</v>
      </c>
      <c r="P66">
        <v>6.08</v>
      </c>
      <c r="Q66">
        <v>1</v>
      </c>
      <c r="R66">
        <v>3.4</v>
      </c>
      <c r="S66">
        <v>784502.68</v>
      </c>
      <c r="T66">
        <v>129519.72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f t="shared" si="6"/>
        <v>0</v>
      </c>
      <c r="F67">
        <f t="shared" si="7"/>
        <v>0</v>
      </c>
      <c r="G67">
        <f t="shared" si="8"/>
        <v>1</v>
      </c>
      <c r="H67">
        <f t="shared" ref="H67:H130" si="11">IF(D68="Residential",1,0)</f>
        <v>0</v>
      </c>
      <c r="I67">
        <f t="shared" si="9"/>
        <v>1</v>
      </c>
      <c r="J67">
        <f t="shared" si="10"/>
        <v>0</v>
      </c>
      <c r="K67">
        <v>0.156</v>
      </c>
      <c r="L67">
        <v>7940</v>
      </c>
      <c r="M67">
        <v>18</v>
      </c>
      <c r="N67">
        <v>93.3</v>
      </c>
      <c r="O67">
        <v>51148.69</v>
      </c>
      <c r="P67">
        <v>10.91</v>
      </c>
      <c r="Q67">
        <v>0</v>
      </c>
      <c r="R67">
        <v>3.6</v>
      </c>
      <c r="S67">
        <v>717141.55</v>
      </c>
      <c r="T67">
        <v>134013.60999999999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f t="shared" si="6"/>
        <v>0</v>
      </c>
      <c r="F68">
        <f t="shared" si="7"/>
        <v>0</v>
      </c>
      <c r="G68">
        <f t="shared" si="8"/>
        <v>1</v>
      </c>
      <c r="H68">
        <f t="shared" si="11"/>
        <v>0</v>
      </c>
      <c r="I68">
        <f t="shared" si="9"/>
        <v>1</v>
      </c>
      <c r="J68">
        <f t="shared" si="10"/>
        <v>0</v>
      </c>
      <c r="K68">
        <v>0.10199999999999999</v>
      </c>
      <c r="L68">
        <v>9628</v>
      </c>
      <c r="M68">
        <v>20</v>
      </c>
      <c r="N68">
        <v>99</v>
      </c>
      <c r="O68">
        <v>79346.100000000006</v>
      </c>
      <c r="P68">
        <v>19.010000000000002</v>
      </c>
      <c r="Q68">
        <v>1</v>
      </c>
      <c r="R68">
        <v>3.2</v>
      </c>
      <c r="S68">
        <v>685379.08</v>
      </c>
      <c r="T68">
        <v>106898.82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f t="shared" si="6"/>
        <v>0</v>
      </c>
      <c r="F69">
        <f t="shared" si="7"/>
        <v>0</v>
      </c>
      <c r="G69">
        <f t="shared" si="8"/>
        <v>0</v>
      </c>
      <c r="H69">
        <f t="shared" si="11"/>
        <v>0</v>
      </c>
      <c r="I69">
        <f t="shared" si="9"/>
        <v>1</v>
      </c>
      <c r="J69">
        <f t="shared" si="10"/>
        <v>0</v>
      </c>
      <c r="K69">
        <v>0.115</v>
      </c>
      <c r="L69">
        <v>8296</v>
      </c>
      <c r="M69">
        <v>17</v>
      </c>
      <c r="N69">
        <v>91.8</v>
      </c>
      <c r="O69">
        <v>42018.400000000001</v>
      </c>
      <c r="P69">
        <v>0.77</v>
      </c>
      <c r="Q69">
        <v>0</v>
      </c>
      <c r="R69">
        <v>3.4</v>
      </c>
      <c r="S69">
        <v>740496.65</v>
      </c>
      <c r="T69">
        <v>128020.9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f t="shared" si="6"/>
        <v>0</v>
      </c>
      <c r="F70">
        <f t="shared" si="7"/>
        <v>0</v>
      </c>
      <c r="G70">
        <f t="shared" si="8"/>
        <v>0</v>
      </c>
      <c r="H70">
        <f t="shared" si="11"/>
        <v>0</v>
      </c>
      <c r="I70">
        <f t="shared" si="9"/>
        <v>1</v>
      </c>
      <c r="J70">
        <f t="shared" si="10"/>
        <v>0</v>
      </c>
      <c r="K70">
        <v>0.14099999999999999</v>
      </c>
      <c r="L70">
        <v>3595</v>
      </c>
      <c r="M70">
        <v>11</v>
      </c>
      <c r="N70">
        <v>88.9</v>
      </c>
      <c r="O70">
        <v>70937.240000000005</v>
      </c>
      <c r="P70">
        <v>2.83</v>
      </c>
      <c r="Q70">
        <v>1</v>
      </c>
      <c r="R70">
        <v>3.3</v>
      </c>
      <c r="S70">
        <v>661927.14</v>
      </c>
      <c r="T70">
        <v>79218.570000000007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f t="shared" si="6"/>
        <v>0</v>
      </c>
      <c r="F71">
        <f t="shared" si="7"/>
        <v>0</v>
      </c>
      <c r="G71">
        <f t="shared" si="8"/>
        <v>0</v>
      </c>
      <c r="H71">
        <f t="shared" si="11"/>
        <v>0</v>
      </c>
      <c r="I71">
        <f t="shared" si="9"/>
        <v>1</v>
      </c>
      <c r="J71">
        <f t="shared" si="10"/>
        <v>0</v>
      </c>
      <c r="K71">
        <v>0.191</v>
      </c>
      <c r="L71">
        <v>2834</v>
      </c>
      <c r="M71">
        <v>11</v>
      </c>
      <c r="N71">
        <v>81.8</v>
      </c>
      <c r="O71">
        <v>36813.449999999997</v>
      </c>
      <c r="P71">
        <v>2.33</v>
      </c>
      <c r="Q71">
        <v>0</v>
      </c>
      <c r="R71">
        <v>3.3</v>
      </c>
      <c r="S71">
        <v>479050.5</v>
      </c>
      <c r="T71">
        <v>53651.11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f t="shared" si="6"/>
        <v>0</v>
      </c>
      <c r="F72">
        <f t="shared" si="7"/>
        <v>0</v>
      </c>
      <c r="G72">
        <f t="shared" si="8"/>
        <v>0</v>
      </c>
      <c r="H72">
        <f t="shared" si="11"/>
        <v>0</v>
      </c>
      <c r="I72">
        <f t="shared" si="9"/>
        <v>1</v>
      </c>
      <c r="J72">
        <f t="shared" si="10"/>
        <v>0</v>
      </c>
      <c r="K72">
        <v>0.19700000000000001</v>
      </c>
      <c r="L72">
        <v>3193</v>
      </c>
      <c r="M72">
        <v>7</v>
      </c>
      <c r="N72">
        <v>99</v>
      </c>
      <c r="O72">
        <v>60571.82</v>
      </c>
      <c r="P72">
        <v>6</v>
      </c>
      <c r="Q72">
        <v>0</v>
      </c>
      <c r="R72">
        <v>3.2</v>
      </c>
      <c r="S72">
        <v>605023.87</v>
      </c>
      <c r="T72">
        <v>98545.81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f t="shared" si="6"/>
        <v>0</v>
      </c>
      <c r="F73">
        <f t="shared" si="7"/>
        <v>0</v>
      </c>
      <c r="G73">
        <f t="shared" si="8"/>
        <v>0</v>
      </c>
      <c r="H73">
        <f t="shared" si="11"/>
        <v>1</v>
      </c>
      <c r="I73">
        <f t="shared" si="9"/>
        <v>1</v>
      </c>
      <c r="J73">
        <f t="shared" si="10"/>
        <v>0</v>
      </c>
      <c r="K73">
        <v>3.5999999999999997E-2</v>
      </c>
      <c r="L73">
        <v>5485</v>
      </c>
      <c r="M73">
        <v>12</v>
      </c>
      <c r="N73">
        <v>88</v>
      </c>
      <c r="O73">
        <v>55081.16</v>
      </c>
      <c r="P73">
        <v>6</v>
      </c>
      <c r="Q73">
        <v>0</v>
      </c>
      <c r="R73">
        <v>3.5</v>
      </c>
      <c r="S73">
        <v>674774.09</v>
      </c>
      <c r="T73">
        <v>141917.59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f t="shared" si="6"/>
        <v>0</v>
      </c>
      <c r="F74">
        <f t="shared" si="7"/>
        <v>0</v>
      </c>
      <c r="G74">
        <f t="shared" si="8"/>
        <v>0</v>
      </c>
      <c r="H74">
        <f t="shared" si="11"/>
        <v>1</v>
      </c>
      <c r="I74">
        <f t="shared" si="9"/>
        <v>0</v>
      </c>
      <c r="J74">
        <f t="shared" si="10"/>
        <v>0</v>
      </c>
      <c r="K74">
        <v>0.27700000000000002</v>
      </c>
      <c r="L74">
        <v>5918</v>
      </c>
      <c r="M74">
        <v>13</v>
      </c>
      <c r="N74">
        <v>78.8</v>
      </c>
      <c r="O74">
        <v>46201.46</v>
      </c>
      <c r="P74">
        <v>4.91</v>
      </c>
      <c r="Q74">
        <v>0</v>
      </c>
      <c r="R74">
        <v>4.5</v>
      </c>
      <c r="S74">
        <v>616069.41</v>
      </c>
      <c r="T74">
        <v>54453.99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f t="shared" si="6"/>
        <v>0</v>
      </c>
      <c r="F75">
        <f t="shared" si="7"/>
        <v>0</v>
      </c>
      <c r="G75">
        <f t="shared" si="8"/>
        <v>0</v>
      </c>
      <c r="H75">
        <f t="shared" si="11"/>
        <v>1</v>
      </c>
      <c r="I75">
        <f t="shared" si="9"/>
        <v>0</v>
      </c>
      <c r="J75">
        <f t="shared" si="10"/>
        <v>0</v>
      </c>
      <c r="K75">
        <v>6.6000000000000003E-2</v>
      </c>
      <c r="L75">
        <v>6821</v>
      </c>
      <c r="M75">
        <v>19</v>
      </c>
      <c r="N75">
        <v>94.6</v>
      </c>
      <c r="O75">
        <v>53762.92</v>
      </c>
      <c r="P75">
        <v>7.03</v>
      </c>
      <c r="Q75">
        <v>0</v>
      </c>
      <c r="R75">
        <v>4.4000000000000004</v>
      </c>
      <c r="S75">
        <v>630829.93999999994</v>
      </c>
      <c r="T75">
        <v>117090.02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f t="shared" si="6"/>
        <v>0</v>
      </c>
      <c r="F76">
        <f t="shared" si="7"/>
        <v>0</v>
      </c>
      <c r="G76">
        <f t="shared" si="8"/>
        <v>0</v>
      </c>
      <c r="H76">
        <f t="shared" si="11"/>
        <v>1</v>
      </c>
      <c r="I76">
        <f t="shared" si="9"/>
        <v>0</v>
      </c>
      <c r="J76">
        <f t="shared" si="10"/>
        <v>0</v>
      </c>
      <c r="K76">
        <v>0.17799999999999999</v>
      </c>
      <c r="L76">
        <v>6806</v>
      </c>
      <c r="M76">
        <v>20</v>
      </c>
      <c r="N76">
        <v>93.1</v>
      </c>
      <c r="O76">
        <v>70144.78</v>
      </c>
      <c r="P76">
        <v>0.28000000000000003</v>
      </c>
      <c r="Q76">
        <v>1</v>
      </c>
      <c r="R76">
        <v>4.3</v>
      </c>
      <c r="S76">
        <v>788087.68</v>
      </c>
      <c r="T76">
        <v>116803.42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f t="shared" si="6"/>
        <v>0</v>
      </c>
      <c r="F77">
        <f t="shared" si="7"/>
        <v>1</v>
      </c>
      <c r="G77">
        <f t="shared" si="8"/>
        <v>0</v>
      </c>
      <c r="H77">
        <f t="shared" si="11"/>
        <v>0</v>
      </c>
      <c r="I77">
        <f t="shared" si="9"/>
        <v>0</v>
      </c>
      <c r="J77">
        <f t="shared" si="10"/>
        <v>0</v>
      </c>
      <c r="K77">
        <v>0.20300000000000001</v>
      </c>
      <c r="L77">
        <v>8252</v>
      </c>
      <c r="M77">
        <v>20</v>
      </c>
      <c r="N77">
        <v>85.2</v>
      </c>
      <c r="O77">
        <v>58749.63</v>
      </c>
      <c r="P77">
        <v>3.61</v>
      </c>
      <c r="Q77">
        <v>0</v>
      </c>
      <c r="R77">
        <v>4.5</v>
      </c>
      <c r="S77">
        <v>680840.36</v>
      </c>
      <c r="T77">
        <v>68007.679999999993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f t="shared" si="6"/>
        <v>0</v>
      </c>
      <c r="F78">
        <f t="shared" si="7"/>
        <v>1</v>
      </c>
      <c r="G78">
        <f t="shared" si="8"/>
        <v>0</v>
      </c>
      <c r="H78">
        <f t="shared" si="11"/>
        <v>0</v>
      </c>
      <c r="I78">
        <f t="shared" si="9"/>
        <v>1</v>
      </c>
      <c r="J78">
        <f t="shared" si="10"/>
        <v>0</v>
      </c>
      <c r="K78">
        <v>0.1</v>
      </c>
      <c r="L78">
        <v>6662</v>
      </c>
      <c r="M78">
        <v>15</v>
      </c>
      <c r="N78">
        <v>77.7</v>
      </c>
      <c r="O78">
        <v>56973.18</v>
      </c>
      <c r="P78">
        <v>7.52</v>
      </c>
      <c r="Q78">
        <v>1</v>
      </c>
      <c r="R78">
        <v>3.2</v>
      </c>
      <c r="S78">
        <v>643657.47</v>
      </c>
      <c r="T78">
        <v>87022.45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f t="shared" si="6"/>
        <v>0</v>
      </c>
      <c r="F79">
        <f t="shared" si="7"/>
        <v>1</v>
      </c>
      <c r="G79">
        <f t="shared" si="8"/>
        <v>0</v>
      </c>
      <c r="H79">
        <f t="shared" si="11"/>
        <v>0</v>
      </c>
      <c r="I79">
        <f t="shared" si="9"/>
        <v>1</v>
      </c>
      <c r="J79">
        <f t="shared" si="10"/>
        <v>0</v>
      </c>
      <c r="K79">
        <v>6.4000000000000001E-2</v>
      </c>
      <c r="L79">
        <v>5962</v>
      </c>
      <c r="M79">
        <v>12</v>
      </c>
      <c r="N79">
        <v>85.4</v>
      </c>
      <c r="O79">
        <v>54872.82</v>
      </c>
      <c r="P79">
        <v>2.58</v>
      </c>
      <c r="Q79">
        <v>0</v>
      </c>
      <c r="R79">
        <v>2.9</v>
      </c>
      <c r="S79">
        <v>691112.6</v>
      </c>
      <c r="T79">
        <v>109212.83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f t="shared" si="6"/>
        <v>0</v>
      </c>
      <c r="F80">
        <f t="shared" si="7"/>
        <v>1</v>
      </c>
      <c r="G80">
        <f t="shared" si="8"/>
        <v>0</v>
      </c>
      <c r="H80">
        <f t="shared" si="11"/>
        <v>0</v>
      </c>
      <c r="I80">
        <f t="shared" si="9"/>
        <v>1</v>
      </c>
      <c r="J80">
        <f t="shared" si="10"/>
        <v>0</v>
      </c>
      <c r="K80">
        <v>0.17199999999999999</v>
      </c>
      <c r="L80">
        <v>7470</v>
      </c>
      <c r="M80">
        <v>16</v>
      </c>
      <c r="N80">
        <v>83.5</v>
      </c>
      <c r="O80">
        <v>80562.81</v>
      </c>
      <c r="P80">
        <v>2.29</v>
      </c>
      <c r="Q80">
        <v>0</v>
      </c>
      <c r="R80">
        <v>3.3</v>
      </c>
      <c r="S80">
        <v>776922.17</v>
      </c>
      <c r="T80">
        <v>150701.93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f t="shared" si="6"/>
        <v>0</v>
      </c>
      <c r="F81">
        <f t="shared" si="7"/>
        <v>0</v>
      </c>
      <c r="G81">
        <f t="shared" si="8"/>
        <v>1</v>
      </c>
      <c r="H81">
        <f t="shared" si="11"/>
        <v>0</v>
      </c>
      <c r="I81">
        <f t="shared" si="9"/>
        <v>1</v>
      </c>
      <c r="J81">
        <f t="shared" si="10"/>
        <v>1</v>
      </c>
      <c r="K81">
        <v>0.252</v>
      </c>
      <c r="L81">
        <v>5974</v>
      </c>
      <c r="M81">
        <v>14</v>
      </c>
      <c r="N81">
        <v>81.3</v>
      </c>
      <c r="O81">
        <v>77999.899999999994</v>
      </c>
      <c r="P81">
        <v>2.39</v>
      </c>
      <c r="Q81">
        <v>0</v>
      </c>
      <c r="R81">
        <v>3.2</v>
      </c>
      <c r="S81">
        <v>636561.34</v>
      </c>
      <c r="T81">
        <v>93861.06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f t="shared" si="6"/>
        <v>0</v>
      </c>
      <c r="F82">
        <f t="shared" si="7"/>
        <v>0</v>
      </c>
      <c r="G82">
        <f t="shared" si="8"/>
        <v>1</v>
      </c>
      <c r="H82">
        <f t="shared" si="11"/>
        <v>0</v>
      </c>
      <c r="I82">
        <f t="shared" si="9"/>
        <v>0</v>
      </c>
      <c r="J82">
        <f t="shared" si="10"/>
        <v>1</v>
      </c>
      <c r="K82">
        <v>0.17899999999999999</v>
      </c>
      <c r="L82">
        <v>5410</v>
      </c>
      <c r="M82">
        <v>15</v>
      </c>
      <c r="N82">
        <v>83.9</v>
      </c>
      <c r="O82">
        <v>60881.01</v>
      </c>
      <c r="P82">
        <v>5.24</v>
      </c>
      <c r="Q82">
        <v>0</v>
      </c>
      <c r="R82">
        <v>4.5999999999999996</v>
      </c>
      <c r="S82">
        <v>621369.57999999996</v>
      </c>
      <c r="T82">
        <v>85493.64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f t="shared" si="6"/>
        <v>0</v>
      </c>
      <c r="F83">
        <f t="shared" si="7"/>
        <v>0</v>
      </c>
      <c r="G83">
        <f t="shared" si="8"/>
        <v>1</v>
      </c>
      <c r="H83">
        <f t="shared" si="11"/>
        <v>0</v>
      </c>
      <c r="I83">
        <f t="shared" si="9"/>
        <v>0</v>
      </c>
      <c r="J83">
        <f t="shared" si="10"/>
        <v>1</v>
      </c>
      <c r="K83">
        <v>9.5000000000000001E-2</v>
      </c>
      <c r="L83">
        <v>4451</v>
      </c>
      <c r="M83">
        <v>10</v>
      </c>
      <c r="N83">
        <v>89.6</v>
      </c>
      <c r="O83">
        <v>60628.38</v>
      </c>
      <c r="P83">
        <v>3.17</v>
      </c>
      <c r="Q83">
        <v>0</v>
      </c>
      <c r="R83">
        <v>4.5999999999999996</v>
      </c>
      <c r="S83">
        <v>682208.01</v>
      </c>
      <c r="T83">
        <v>110318.84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f t="shared" si="6"/>
        <v>0</v>
      </c>
      <c r="F84">
        <f t="shared" si="7"/>
        <v>0</v>
      </c>
      <c r="G84">
        <f t="shared" si="8"/>
        <v>1</v>
      </c>
      <c r="H84">
        <f t="shared" si="11"/>
        <v>0</v>
      </c>
      <c r="I84">
        <f t="shared" si="9"/>
        <v>0</v>
      </c>
      <c r="J84">
        <f t="shared" si="10"/>
        <v>1</v>
      </c>
      <c r="K84">
        <v>8.4000000000000005E-2</v>
      </c>
      <c r="L84">
        <v>4644</v>
      </c>
      <c r="M84">
        <v>15</v>
      </c>
      <c r="N84">
        <v>87.1</v>
      </c>
      <c r="O84">
        <v>72731.14</v>
      </c>
      <c r="P84">
        <v>2.66</v>
      </c>
      <c r="Q84">
        <v>0</v>
      </c>
      <c r="R84">
        <v>4.5999999999999996</v>
      </c>
      <c r="S84">
        <v>727241.86</v>
      </c>
      <c r="T84">
        <v>155810.29999999999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f t="shared" si="6"/>
        <v>0</v>
      </c>
      <c r="F85">
        <f t="shared" si="7"/>
        <v>0</v>
      </c>
      <c r="G85">
        <f t="shared" si="8"/>
        <v>1</v>
      </c>
      <c r="H85">
        <f t="shared" si="11"/>
        <v>0</v>
      </c>
      <c r="I85">
        <f t="shared" si="9"/>
        <v>0</v>
      </c>
      <c r="J85">
        <f t="shared" si="10"/>
        <v>0</v>
      </c>
      <c r="K85">
        <v>0.03</v>
      </c>
      <c r="L85">
        <v>3559</v>
      </c>
      <c r="M85">
        <v>8</v>
      </c>
      <c r="N85">
        <v>83.6</v>
      </c>
      <c r="O85">
        <v>36475.71</v>
      </c>
      <c r="P85">
        <v>1.41</v>
      </c>
      <c r="Q85">
        <v>0</v>
      </c>
      <c r="R85">
        <v>4.2</v>
      </c>
      <c r="S85">
        <v>569100.78</v>
      </c>
      <c r="T85">
        <v>104808.78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f t="shared" si="6"/>
        <v>0</v>
      </c>
      <c r="F86">
        <f t="shared" si="7"/>
        <v>0</v>
      </c>
      <c r="G86">
        <f t="shared" si="8"/>
        <v>1</v>
      </c>
      <c r="H86">
        <f t="shared" si="11"/>
        <v>0</v>
      </c>
      <c r="I86">
        <f t="shared" si="9"/>
        <v>1</v>
      </c>
      <c r="J86">
        <f t="shared" si="10"/>
        <v>0</v>
      </c>
      <c r="K86">
        <v>0.108</v>
      </c>
      <c r="L86">
        <v>3091</v>
      </c>
      <c r="M86">
        <v>7</v>
      </c>
      <c r="N86">
        <v>85.4</v>
      </c>
      <c r="O86">
        <v>55388.11</v>
      </c>
      <c r="P86">
        <v>7.34</v>
      </c>
      <c r="Q86">
        <v>0</v>
      </c>
      <c r="R86">
        <v>4.9000000000000004</v>
      </c>
      <c r="S86">
        <v>574436.29</v>
      </c>
      <c r="T86">
        <v>80271.990000000005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f t="shared" si="6"/>
        <v>0</v>
      </c>
      <c r="F87">
        <f t="shared" si="7"/>
        <v>0</v>
      </c>
      <c r="G87">
        <f t="shared" si="8"/>
        <v>1</v>
      </c>
      <c r="H87">
        <f t="shared" si="11"/>
        <v>0</v>
      </c>
      <c r="I87">
        <f t="shared" si="9"/>
        <v>1</v>
      </c>
      <c r="J87">
        <f t="shared" si="10"/>
        <v>0</v>
      </c>
      <c r="K87">
        <v>0.20599999999999999</v>
      </c>
      <c r="L87">
        <v>4004</v>
      </c>
      <c r="M87">
        <v>11</v>
      </c>
      <c r="N87">
        <v>91.9</v>
      </c>
      <c r="O87">
        <v>88443.77</v>
      </c>
      <c r="P87">
        <v>5.95</v>
      </c>
      <c r="Q87">
        <v>0</v>
      </c>
      <c r="R87">
        <v>4</v>
      </c>
      <c r="S87">
        <v>611766.72</v>
      </c>
      <c r="T87">
        <v>88275.61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f t="shared" si="6"/>
        <v>0</v>
      </c>
      <c r="F88">
        <f t="shared" si="7"/>
        <v>0</v>
      </c>
      <c r="G88">
        <f t="shared" si="8"/>
        <v>1</v>
      </c>
      <c r="H88">
        <f t="shared" si="11"/>
        <v>0</v>
      </c>
      <c r="I88">
        <f t="shared" si="9"/>
        <v>1</v>
      </c>
      <c r="J88">
        <f t="shared" si="10"/>
        <v>0</v>
      </c>
      <c r="K88">
        <v>5.8999999999999997E-2</v>
      </c>
      <c r="L88">
        <v>3788</v>
      </c>
      <c r="M88">
        <v>11</v>
      </c>
      <c r="N88">
        <v>88.5</v>
      </c>
      <c r="O88">
        <v>78231.91</v>
      </c>
      <c r="P88">
        <v>15.51</v>
      </c>
      <c r="Q88">
        <v>0</v>
      </c>
      <c r="R88">
        <v>4.3</v>
      </c>
      <c r="S88">
        <v>614596.31999999995</v>
      </c>
      <c r="T88">
        <v>131199.41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f t="shared" si="6"/>
        <v>0</v>
      </c>
      <c r="F89">
        <f t="shared" si="7"/>
        <v>1</v>
      </c>
      <c r="G89">
        <f t="shared" si="8"/>
        <v>0</v>
      </c>
      <c r="H89">
        <f t="shared" si="11"/>
        <v>0</v>
      </c>
      <c r="I89">
        <f t="shared" si="9"/>
        <v>1</v>
      </c>
      <c r="J89">
        <f t="shared" si="10"/>
        <v>1</v>
      </c>
      <c r="K89">
        <v>0.14499999999999999</v>
      </c>
      <c r="L89">
        <v>1260</v>
      </c>
      <c r="M89">
        <v>9</v>
      </c>
      <c r="N89">
        <v>86.4</v>
      </c>
      <c r="O89">
        <v>18996.32</v>
      </c>
      <c r="P89">
        <v>4.3099999999999996</v>
      </c>
      <c r="Q89">
        <v>0</v>
      </c>
      <c r="R89">
        <v>4.5999999999999996</v>
      </c>
      <c r="S89">
        <v>450711.92</v>
      </c>
      <c r="T89">
        <v>90043.76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f t="shared" si="6"/>
        <v>0</v>
      </c>
      <c r="F90">
        <f t="shared" si="7"/>
        <v>1</v>
      </c>
      <c r="G90">
        <f t="shared" si="8"/>
        <v>0</v>
      </c>
      <c r="H90">
        <f t="shared" si="11"/>
        <v>0</v>
      </c>
      <c r="I90">
        <f t="shared" si="9"/>
        <v>0</v>
      </c>
      <c r="J90">
        <f t="shared" si="10"/>
        <v>1</v>
      </c>
      <c r="K90">
        <v>2.9000000000000001E-2</v>
      </c>
      <c r="L90">
        <v>7024</v>
      </c>
      <c r="M90">
        <v>18</v>
      </c>
      <c r="N90">
        <v>79.2</v>
      </c>
      <c r="O90">
        <v>50517.94</v>
      </c>
      <c r="P90">
        <v>6.61</v>
      </c>
      <c r="Q90">
        <v>1</v>
      </c>
      <c r="R90">
        <v>4.0999999999999996</v>
      </c>
      <c r="S90">
        <v>711213.46</v>
      </c>
      <c r="T90">
        <v>105863.26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f t="shared" si="6"/>
        <v>0</v>
      </c>
      <c r="F91">
        <f t="shared" si="7"/>
        <v>1</v>
      </c>
      <c r="G91">
        <f t="shared" si="8"/>
        <v>0</v>
      </c>
      <c r="H91">
        <f t="shared" si="11"/>
        <v>0</v>
      </c>
      <c r="I91">
        <f t="shared" si="9"/>
        <v>0</v>
      </c>
      <c r="J91">
        <f t="shared" si="10"/>
        <v>1</v>
      </c>
      <c r="K91">
        <v>1.2999999999999999E-2</v>
      </c>
      <c r="L91">
        <v>5400</v>
      </c>
      <c r="M91">
        <v>12</v>
      </c>
      <c r="N91">
        <v>87</v>
      </c>
      <c r="O91">
        <v>141540.29</v>
      </c>
      <c r="P91">
        <v>4.26</v>
      </c>
      <c r="Q91">
        <v>0</v>
      </c>
      <c r="R91">
        <v>4.5</v>
      </c>
      <c r="S91">
        <v>627171.9</v>
      </c>
      <c r="T91">
        <v>105772.75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f t="shared" si="6"/>
        <v>0</v>
      </c>
      <c r="F92">
        <f t="shared" si="7"/>
        <v>1</v>
      </c>
      <c r="G92">
        <f t="shared" si="8"/>
        <v>0</v>
      </c>
      <c r="H92">
        <f t="shared" si="11"/>
        <v>0</v>
      </c>
      <c r="I92">
        <f t="shared" si="9"/>
        <v>0</v>
      </c>
      <c r="J92">
        <f t="shared" si="10"/>
        <v>1</v>
      </c>
      <c r="K92">
        <v>0.04</v>
      </c>
      <c r="L92">
        <v>5988</v>
      </c>
      <c r="M92">
        <v>17</v>
      </c>
      <c r="N92">
        <v>91.8</v>
      </c>
      <c r="O92">
        <v>82116.19</v>
      </c>
      <c r="P92">
        <v>5.75</v>
      </c>
      <c r="Q92">
        <v>0</v>
      </c>
      <c r="R92">
        <v>4.7</v>
      </c>
      <c r="S92">
        <v>739852.58</v>
      </c>
      <c r="T92">
        <v>129386.43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f t="shared" si="6"/>
        <v>0</v>
      </c>
      <c r="F93">
        <f t="shared" si="7"/>
        <v>0</v>
      </c>
      <c r="G93">
        <f t="shared" si="8"/>
        <v>1</v>
      </c>
      <c r="H93">
        <f t="shared" si="11"/>
        <v>1</v>
      </c>
      <c r="I93">
        <f t="shared" si="9"/>
        <v>0</v>
      </c>
      <c r="J93">
        <f t="shared" si="10"/>
        <v>0</v>
      </c>
      <c r="K93">
        <v>4.2999999999999997E-2</v>
      </c>
      <c r="L93">
        <v>3701</v>
      </c>
      <c r="M93">
        <v>11</v>
      </c>
      <c r="N93">
        <v>84.7</v>
      </c>
      <c r="O93">
        <v>31207.51</v>
      </c>
      <c r="P93">
        <v>0.33</v>
      </c>
      <c r="Q93">
        <v>0</v>
      </c>
      <c r="R93">
        <v>4.3</v>
      </c>
      <c r="S93">
        <v>586307.22</v>
      </c>
      <c r="T93">
        <v>73927.850000000006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f t="shared" si="6"/>
        <v>0</v>
      </c>
      <c r="F94">
        <f t="shared" si="7"/>
        <v>0</v>
      </c>
      <c r="G94">
        <f t="shared" si="8"/>
        <v>1</v>
      </c>
      <c r="H94">
        <f t="shared" si="11"/>
        <v>1</v>
      </c>
      <c r="I94">
        <f t="shared" si="9"/>
        <v>0</v>
      </c>
      <c r="J94">
        <f t="shared" si="10"/>
        <v>0</v>
      </c>
      <c r="K94">
        <v>0.19400000000000001</v>
      </c>
      <c r="L94">
        <v>4509</v>
      </c>
      <c r="M94">
        <v>14</v>
      </c>
      <c r="N94">
        <v>91.1</v>
      </c>
      <c r="O94">
        <v>38966.589999999997</v>
      </c>
      <c r="P94">
        <v>2.92</v>
      </c>
      <c r="Q94">
        <v>0</v>
      </c>
      <c r="R94">
        <v>4.5999999999999996</v>
      </c>
      <c r="S94">
        <v>585937.48</v>
      </c>
      <c r="T94">
        <v>82624.2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f t="shared" si="6"/>
        <v>0</v>
      </c>
      <c r="F95">
        <f t="shared" si="7"/>
        <v>0</v>
      </c>
      <c r="G95">
        <f t="shared" si="8"/>
        <v>1</v>
      </c>
      <c r="H95">
        <f t="shared" si="11"/>
        <v>1</v>
      </c>
      <c r="I95">
        <f t="shared" si="9"/>
        <v>0</v>
      </c>
      <c r="J95">
        <f t="shared" si="10"/>
        <v>0</v>
      </c>
      <c r="K95">
        <v>0</v>
      </c>
      <c r="L95">
        <v>6477</v>
      </c>
      <c r="M95">
        <v>16</v>
      </c>
      <c r="N95">
        <v>90.9</v>
      </c>
      <c r="O95">
        <v>67439.3</v>
      </c>
      <c r="P95">
        <v>1.64</v>
      </c>
      <c r="Q95">
        <v>0</v>
      </c>
      <c r="R95">
        <v>4.5</v>
      </c>
      <c r="S95">
        <v>753473.55</v>
      </c>
      <c r="T95">
        <v>151527.22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f t="shared" si="6"/>
        <v>0</v>
      </c>
      <c r="F96">
        <f t="shared" si="7"/>
        <v>0</v>
      </c>
      <c r="G96">
        <f t="shared" si="8"/>
        <v>1</v>
      </c>
      <c r="H96">
        <f t="shared" si="11"/>
        <v>1</v>
      </c>
      <c r="I96">
        <f t="shared" si="9"/>
        <v>0</v>
      </c>
      <c r="J96">
        <f t="shared" si="10"/>
        <v>0</v>
      </c>
      <c r="K96">
        <v>7.2999999999999995E-2</v>
      </c>
      <c r="L96">
        <v>7970</v>
      </c>
      <c r="M96">
        <v>17</v>
      </c>
      <c r="N96">
        <v>91.3</v>
      </c>
      <c r="O96">
        <v>86421.88</v>
      </c>
      <c r="P96">
        <v>0.8</v>
      </c>
      <c r="Q96">
        <v>0</v>
      </c>
      <c r="R96">
        <v>5</v>
      </c>
      <c r="S96">
        <v>838250.32</v>
      </c>
      <c r="T96">
        <v>122939.34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f t="shared" si="6"/>
        <v>0</v>
      </c>
      <c r="F97">
        <f t="shared" si="7"/>
        <v>0</v>
      </c>
      <c r="G97">
        <f t="shared" si="8"/>
        <v>1</v>
      </c>
      <c r="H97">
        <f t="shared" si="11"/>
        <v>0</v>
      </c>
      <c r="I97">
        <f t="shared" si="9"/>
        <v>0</v>
      </c>
      <c r="J97">
        <f t="shared" si="10"/>
        <v>1</v>
      </c>
      <c r="K97">
        <v>7.3999999999999996E-2</v>
      </c>
      <c r="L97">
        <v>6057</v>
      </c>
      <c r="M97">
        <v>15</v>
      </c>
      <c r="N97">
        <v>94.1</v>
      </c>
      <c r="O97">
        <v>9534.65</v>
      </c>
      <c r="P97">
        <v>5.79</v>
      </c>
      <c r="Q97">
        <v>0</v>
      </c>
      <c r="R97">
        <v>4.5</v>
      </c>
      <c r="S97">
        <v>607898.12</v>
      </c>
      <c r="T97">
        <v>135404.85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f t="shared" si="6"/>
        <v>0</v>
      </c>
      <c r="F98">
        <f t="shared" si="7"/>
        <v>0</v>
      </c>
      <c r="G98">
        <f t="shared" si="8"/>
        <v>1</v>
      </c>
      <c r="H98">
        <f t="shared" si="11"/>
        <v>0</v>
      </c>
      <c r="I98">
        <f t="shared" si="9"/>
        <v>0</v>
      </c>
      <c r="J98">
        <f t="shared" si="10"/>
        <v>1</v>
      </c>
      <c r="K98">
        <v>0.16300000000000001</v>
      </c>
      <c r="L98">
        <v>6394</v>
      </c>
      <c r="M98">
        <v>19</v>
      </c>
      <c r="N98">
        <v>91</v>
      </c>
      <c r="O98">
        <v>61132.07</v>
      </c>
      <c r="P98">
        <v>19.600000000000001</v>
      </c>
      <c r="Q98">
        <v>0</v>
      </c>
      <c r="R98">
        <v>4.4000000000000004</v>
      </c>
      <c r="S98">
        <v>691113.62</v>
      </c>
      <c r="T98">
        <v>135145.44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f t="shared" si="6"/>
        <v>0</v>
      </c>
      <c r="F99">
        <f t="shared" si="7"/>
        <v>0</v>
      </c>
      <c r="G99">
        <f t="shared" si="8"/>
        <v>1</v>
      </c>
      <c r="H99">
        <f t="shared" si="11"/>
        <v>0</v>
      </c>
      <c r="I99">
        <f t="shared" si="9"/>
        <v>0</v>
      </c>
      <c r="J99">
        <f t="shared" si="10"/>
        <v>1</v>
      </c>
      <c r="K99">
        <v>0.17100000000000001</v>
      </c>
      <c r="L99">
        <v>5150</v>
      </c>
      <c r="M99">
        <v>13</v>
      </c>
      <c r="N99">
        <v>85.8</v>
      </c>
      <c r="O99">
        <v>78839.39</v>
      </c>
      <c r="P99">
        <v>7.57</v>
      </c>
      <c r="Q99">
        <v>0</v>
      </c>
      <c r="R99">
        <v>4.3</v>
      </c>
      <c r="S99">
        <v>735509.4</v>
      </c>
      <c r="T99">
        <v>83895.96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f t="shared" si="6"/>
        <v>0</v>
      </c>
      <c r="F100">
        <f t="shared" si="7"/>
        <v>0</v>
      </c>
      <c r="G100">
        <f t="shared" si="8"/>
        <v>1</v>
      </c>
      <c r="H100">
        <f t="shared" si="11"/>
        <v>0</v>
      </c>
      <c r="I100">
        <f t="shared" si="9"/>
        <v>0</v>
      </c>
      <c r="J100">
        <f t="shared" si="10"/>
        <v>1</v>
      </c>
      <c r="K100">
        <v>7.4999999999999997E-2</v>
      </c>
      <c r="L100">
        <v>4712</v>
      </c>
      <c r="M100">
        <v>15</v>
      </c>
      <c r="N100">
        <v>89.7</v>
      </c>
      <c r="O100">
        <v>38752.800000000003</v>
      </c>
      <c r="P100">
        <v>6</v>
      </c>
      <c r="Q100">
        <v>0</v>
      </c>
      <c r="R100">
        <v>4.3</v>
      </c>
      <c r="S100">
        <v>605775.32999999996</v>
      </c>
      <c r="T100">
        <v>107194.6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f t="shared" si="6"/>
        <v>0</v>
      </c>
      <c r="F101">
        <f t="shared" si="7"/>
        <v>0</v>
      </c>
      <c r="G101">
        <f t="shared" si="8"/>
        <v>0</v>
      </c>
      <c r="H101">
        <f t="shared" si="11"/>
        <v>0</v>
      </c>
      <c r="I101">
        <f t="shared" si="9"/>
        <v>0</v>
      </c>
      <c r="J101">
        <f t="shared" si="10"/>
        <v>1</v>
      </c>
      <c r="K101">
        <v>0.189</v>
      </c>
      <c r="L101">
        <v>5281</v>
      </c>
      <c r="M101">
        <v>11</v>
      </c>
      <c r="N101">
        <v>91</v>
      </c>
      <c r="O101">
        <v>55101.1</v>
      </c>
      <c r="P101">
        <v>2.7</v>
      </c>
      <c r="Q101">
        <v>0</v>
      </c>
      <c r="R101">
        <v>4.4000000000000004</v>
      </c>
      <c r="S101">
        <v>675177.68</v>
      </c>
      <c r="T101">
        <v>105628.68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f t="shared" si="6"/>
        <v>0</v>
      </c>
      <c r="F102">
        <f t="shared" si="7"/>
        <v>0</v>
      </c>
      <c r="G102">
        <f t="shared" si="8"/>
        <v>0</v>
      </c>
      <c r="H102">
        <f t="shared" si="11"/>
        <v>0</v>
      </c>
      <c r="I102">
        <f t="shared" si="9"/>
        <v>0</v>
      </c>
      <c r="J102">
        <f t="shared" si="10"/>
        <v>1</v>
      </c>
      <c r="K102">
        <v>0.15</v>
      </c>
      <c r="L102">
        <v>3642</v>
      </c>
      <c r="M102">
        <v>12</v>
      </c>
      <c r="N102">
        <v>91.4</v>
      </c>
      <c r="O102">
        <v>53084.76</v>
      </c>
      <c r="P102">
        <v>0.2</v>
      </c>
      <c r="Q102">
        <v>0</v>
      </c>
      <c r="R102">
        <v>4.4000000000000004</v>
      </c>
      <c r="S102">
        <v>635181.35</v>
      </c>
      <c r="T102">
        <v>83341.25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f t="shared" si="6"/>
        <v>0</v>
      </c>
      <c r="F103">
        <f t="shared" si="7"/>
        <v>0</v>
      </c>
      <c r="G103">
        <f t="shared" si="8"/>
        <v>0</v>
      </c>
      <c r="H103">
        <f t="shared" si="11"/>
        <v>0</v>
      </c>
      <c r="I103">
        <f t="shared" si="9"/>
        <v>0</v>
      </c>
      <c r="J103">
        <f t="shared" si="10"/>
        <v>1</v>
      </c>
      <c r="K103">
        <v>0.17299999999999999</v>
      </c>
      <c r="L103">
        <v>4373</v>
      </c>
      <c r="M103">
        <v>14</v>
      </c>
      <c r="N103">
        <v>90.4</v>
      </c>
      <c r="O103">
        <v>63101.59</v>
      </c>
      <c r="P103">
        <v>7.87</v>
      </c>
      <c r="Q103">
        <v>0</v>
      </c>
      <c r="R103">
        <v>4.7</v>
      </c>
      <c r="S103">
        <v>586626.93999999994</v>
      </c>
      <c r="T103">
        <v>86498.55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f t="shared" si="6"/>
        <v>0</v>
      </c>
      <c r="F104">
        <f t="shared" si="7"/>
        <v>0</v>
      </c>
      <c r="G104">
        <f t="shared" si="8"/>
        <v>0</v>
      </c>
      <c r="H104">
        <f t="shared" si="11"/>
        <v>0</v>
      </c>
      <c r="I104">
        <f t="shared" si="9"/>
        <v>0</v>
      </c>
      <c r="J104">
        <f t="shared" si="10"/>
        <v>1</v>
      </c>
      <c r="K104">
        <v>0.185</v>
      </c>
      <c r="L104">
        <v>6832</v>
      </c>
      <c r="M104">
        <v>14</v>
      </c>
      <c r="N104">
        <v>80.5</v>
      </c>
      <c r="O104">
        <v>90084.4</v>
      </c>
      <c r="P104">
        <v>0.77</v>
      </c>
      <c r="Q104">
        <v>1</v>
      </c>
      <c r="R104">
        <v>4.4000000000000004</v>
      </c>
      <c r="S104">
        <v>740102.64</v>
      </c>
      <c r="T104">
        <v>114299.07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f t="shared" si="6"/>
        <v>0</v>
      </c>
      <c r="F105">
        <f t="shared" si="7"/>
        <v>0</v>
      </c>
      <c r="G105">
        <f t="shared" si="8"/>
        <v>1</v>
      </c>
      <c r="H105">
        <f t="shared" si="11"/>
        <v>0</v>
      </c>
      <c r="I105">
        <f t="shared" si="9"/>
        <v>0</v>
      </c>
      <c r="J105">
        <f t="shared" si="10"/>
        <v>0</v>
      </c>
      <c r="K105">
        <v>0.08</v>
      </c>
      <c r="L105">
        <v>2414</v>
      </c>
      <c r="M105">
        <v>7</v>
      </c>
      <c r="N105">
        <v>92.1</v>
      </c>
      <c r="O105">
        <v>32266.639999999999</v>
      </c>
      <c r="P105">
        <v>1.48</v>
      </c>
      <c r="Q105">
        <v>0</v>
      </c>
      <c r="R105">
        <v>5</v>
      </c>
      <c r="S105">
        <v>625514.04</v>
      </c>
      <c r="T105">
        <v>120685.08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f t="shared" si="6"/>
        <v>0</v>
      </c>
      <c r="F106">
        <f t="shared" si="7"/>
        <v>0</v>
      </c>
      <c r="G106">
        <f t="shared" si="8"/>
        <v>1</v>
      </c>
      <c r="H106">
        <f t="shared" si="11"/>
        <v>0</v>
      </c>
      <c r="I106">
        <f t="shared" si="9"/>
        <v>1</v>
      </c>
      <c r="J106">
        <f t="shared" si="10"/>
        <v>0</v>
      </c>
      <c r="K106">
        <v>0.10299999999999999</v>
      </c>
      <c r="L106">
        <v>7374</v>
      </c>
      <c r="M106">
        <v>21</v>
      </c>
      <c r="N106">
        <v>82.3</v>
      </c>
      <c r="O106">
        <v>57919.07</v>
      </c>
      <c r="P106">
        <v>2.87</v>
      </c>
      <c r="Q106">
        <v>0</v>
      </c>
      <c r="R106">
        <v>2.9</v>
      </c>
      <c r="S106">
        <v>727227.2</v>
      </c>
      <c r="T106">
        <v>121292.01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f t="shared" si="6"/>
        <v>0</v>
      </c>
      <c r="F107">
        <f t="shared" si="7"/>
        <v>0</v>
      </c>
      <c r="G107">
        <f t="shared" si="8"/>
        <v>1</v>
      </c>
      <c r="H107">
        <f t="shared" si="11"/>
        <v>0</v>
      </c>
      <c r="I107">
        <f t="shared" si="9"/>
        <v>1</v>
      </c>
      <c r="J107">
        <f t="shared" si="10"/>
        <v>0</v>
      </c>
      <c r="K107">
        <v>5.6000000000000001E-2</v>
      </c>
      <c r="L107">
        <v>8739</v>
      </c>
      <c r="M107">
        <v>21</v>
      </c>
      <c r="N107">
        <v>91.8</v>
      </c>
      <c r="O107">
        <v>74679.350000000006</v>
      </c>
      <c r="P107">
        <v>2.83</v>
      </c>
      <c r="Q107">
        <v>0</v>
      </c>
      <c r="R107">
        <v>3</v>
      </c>
      <c r="S107">
        <v>783797.89</v>
      </c>
      <c r="T107">
        <v>157620.70000000001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f t="shared" si="6"/>
        <v>0</v>
      </c>
      <c r="F108">
        <f t="shared" si="7"/>
        <v>0</v>
      </c>
      <c r="G108">
        <f t="shared" si="8"/>
        <v>1</v>
      </c>
      <c r="H108">
        <f t="shared" si="11"/>
        <v>0</v>
      </c>
      <c r="I108">
        <f t="shared" si="9"/>
        <v>1</v>
      </c>
      <c r="J108">
        <f t="shared" si="10"/>
        <v>0</v>
      </c>
      <c r="K108">
        <v>0.13300000000000001</v>
      </c>
      <c r="L108">
        <v>6992</v>
      </c>
      <c r="M108">
        <v>14</v>
      </c>
      <c r="N108">
        <v>94.1</v>
      </c>
      <c r="O108">
        <v>64294.23</v>
      </c>
      <c r="P108">
        <v>0.25</v>
      </c>
      <c r="Q108">
        <v>0</v>
      </c>
      <c r="R108">
        <v>3</v>
      </c>
      <c r="S108">
        <v>795153.84</v>
      </c>
      <c r="T108">
        <v>143194.21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f t="shared" si="6"/>
        <v>0</v>
      </c>
      <c r="F109">
        <f t="shared" si="7"/>
        <v>0</v>
      </c>
      <c r="G109">
        <f t="shared" si="8"/>
        <v>0</v>
      </c>
      <c r="H109">
        <f t="shared" si="11"/>
        <v>0</v>
      </c>
      <c r="I109">
        <f t="shared" si="9"/>
        <v>1</v>
      </c>
      <c r="J109">
        <f t="shared" si="10"/>
        <v>1</v>
      </c>
      <c r="K109">
        <v>5.0999999999999997E-2</v>
      </c>
      <c r="L109">
        <v>7107</v>
      </c>
      <c r="M109">
        <v>15</v>
      </c>
      <c r="N109">
        <v>87</v>
      </c>
      <c r="O109">
        <v>31042.03</v>
      </c>
      <c r="P109">
        <v>13.33</v>
      </c>
      <c r="Q109">
        <v>0</v>
      </c>
      <c r="R109">
        <v>3.2</v>
      </c>
      <c r="S109">
        <v>665594.93999999994</v>
      </c>
      <c r="T109">
        <v>127597.34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f t="shared" si="6"/>
        <v>0</v>
      </c>
      <c r="F110">
        <f t="shared" si="7"/>
        <v>0</v>
      </c>
      <c r="G110">
        <f t="shared" si="8"/>
        <v>0</v>
      </c>
      <c r="H110">
        <f t="shared" si="11"/>
        <v>0</v>
      </c>
      <c r="I110">
        <f t="shared" si="9"/>
        <v>0</v>
      </c>
      <c r="J110">
        <f t="shared" si="10"/>
        <v>1</v>
      </c>
      <c r="K110">
        <v>0.157</v>
      </c>
      <c r="L110">
        <v>6975</v>
      </c>
      <c r="M110">
        <v>20</v>
      </c>
      <c r="N110">
        <v>73.8</v>
      </c>
      <c r="O110">
        <v>75265.02</v>
      </c>
      <c r="P110">
        <v>6.35</v>
      </c>
      <c r="Q110">
        <v>1</v>
      </c>
      <c r="R110">
        <v>3.8</v>
      </c>
      <c r="S110">
        <v>709478.39</v>
      </c>
      <c r="T110">
        <v>71294.27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f t="shared" si="6"/>
        <v>0</v>
      </c>
      <c r="F111">
        <f t="shared" si="7"/>
        <v>0</v>
      </c>
      <c r="G111">
        <f t="shared" si="8"/>
        <v>0</v>
      </c>
      <c r="H111">
        <f t="shared" si="11"/>
        <v>0</v>
      </c>
      <c r="I111">
        <f t="shared" si="9"/>
        <v>0</v>
      </c>
      <c r="J111">
        <f t="shared" si="10"/>
        <v>1</v>
      </c>
      <c r="K111">
        <v>0.29199999999999998</v>
      </c>
      <c r="L111">
        <v>5493</v>
      </c>
      <c r="M111">
        <v>13</v>
      </c>
      <c r="N111">
        <v>86.5</v>
      </c>
      <c r="O111">
        <v>69411.7</v>
      </c>
      <c r="P111">
        <v>6.69</v>
      </c>
      <c r="Q111">
        <v>0</v>
      </c>
      <c r="R111">
        <v>3.8</v>
      </c>
      <c r="S111">
        <v>664162.49</v>
      </c>
      <c r="T111">
        <v>98291.06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f t="shared" si="6"/>
        <v>0</v>
      </c>
      <c r="F112">
        <f t="shared" si="7"/>
        <v>0</v>
      </c>
      <c r="G112">
        <f t="shared" si="8"/>
        <v>0</v>
      </c>
      <c r="H112">
        <f t="shared" si="11"/>
        <v>0</v>
      </c>
      <c r="I112">
        <f t="shared" si="9"/>
        <v>0</v>
      </c>
      <c r="J112">
        <f t="shared" si="10"/>
        <v>1</v>
      </c>
      <c r="K112">
        <v>8.8999999999999996E-2</v>
      </c>
      <c r="L112">
        <v>5686</v>
      </c>
      <c r="M112">
        <v>13</v>
      </c>
      <c r="N112">
        <v>89.9</v>
      </c>
      <c r="O112">
        <v>51056.15</v>
      </c>
      <c r="P112">
        <v>1.28</v>
      </c>
      <c r="Q112">
        <v>0</v>
      </c>
      <c r="R112">
        <v>4.2</v>
      </c>
      <c r="S112">
        <v>633494.21</v>
      </c>
      <c r="T112">
        <v>105739.47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f t="shared" si="6"/>
        <v>0</v>
      </c>
      <c r="F113">
        <f t="shared" si="7"/>
        <v>0</v>
      </c>
      <c r="G113">
        <f t="shared" si="8"/>
        <v>1</v>
      </c>
      <c r="H113">
        <f t="shared" si="11"/>
        <v>0</v>
      </c>
      <c r="I113">
        <f t="shared" si="9"/>
        <v>0</v>
      </c>
      <c r="J113">
        <f t="shared" si="10"/>
        <v>1</v>
      </c>
      <c r="K113">
        <v>5.7000000000000002E-2</v>
      </c>
      <c r="L113">
        <v>4063</v>
      </c>
      <c r="M113">
        <v>12</v>
      </c>
      <c r="N113">
        <v>91.7</v>
      </c>
      <c r="O113">
        <v>52758.01</v>
      </c>
      <c r="P113">
        <v>0.92</v>
      </c>
      <c r="Q113">
        <v>0</v>
      </c>
      <c r="R113">
        <v>3.5</v>
      </c>
      <c r="S113">
        <v>713611.16</v>
      </c>
      <c r="T113">
        <v>129717.18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f t="shared" si="6"/>
        <v>0</v>
      </c>
      <c r="F114">
        <f t="shared" si="7"/>
        <v>0</v>
      </c>
      <c r="G114">
        <f t="shared" si="8"/>
        <v>1</v>
      </c>
      <c r="H114">
        <f t="shared" si="11"/>
        <v>0</v>
      </c>
      <c r="I114">
        <f t="shared" si="9"/>
        <v>0</v>
      </c>
      <c r="J114">
        <f t="shared" si="10"/>
        <v>1</v>
      </c>
      <c r="K114">
        <v>0.17299999999999999</v>
      </c>
      <c r="L114">
        <v>8966</v>
      </c>
      <c r="M114">
        <v>22</v>
      </c>
      <c r="N114">
        <v>76.400000000000006</v>
      </c>
      <c r="O114">
        <v>61426.04</v>
      </c>
      <c r="P114">
        <v>1.05</v>
      </c>
      <c r="Q114">
        <v>0</v>
      </c>
      <c r="R114">
        <v>3.1</v>
      </c>
      <c r="S114">
        <v>778397.97</v>
      </c>
      <c r="T114">
        <v>120044.41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f t="shared" si="6"/>
        <v>0</v>
      </c>
      <c r="F115">
        <f t="shared" si="7"/>
        <v>0</v>
      </c>
      <c r="G115">
        <f t="shared" si="8"/>
        <v>1</v>
      </c>
      <c r="H115">
        <f t="shared" si="11"/>
        <v>0</v>
      </c>
      <c r="I115">
        <f t="shared" si="9"/>
        <v>0</v>
      </c>
      <c r="J115">
        <f t="shared" si="10"/>
        <v>1</v>
      </c>
      <c r="K115">
        <v>0.14199999999999999</v>
      </c>
      <c r="L115">
        <v>9489</v>
      </c>
      <c r="M115">
        <v>22</v>
      </c>
      <c r="N115">
        <v>94.3</v>
      </c>
      <c r="O115">
        <v>80176.34</v>
      </c>
      <c r="P115">
        <v>2.67</v>
      </c>
      <c r="Q115">
        <v>0</v>
      </c>
      <c r="R115">
        <v>3.5</v>
      </c>
      <c r="S115">
        <v>873380.02</v>
      </c>
      <c r="T115">
        <v>149734.76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f t="shared" si="6"/>
        <v>0</v>
      </c>
      <c r="F116">
        <f t="shared" si="7"/>
        <v>0</v>
      </c>
      <c r="G116">
        <f t="shared" si="8"/>
        <v>1</v>
      </c>
      <c r="H116">
        <f t="shared" si="11"/>
        <v>0</v>
      </c>
      <c r="I116">
        <f t="shared" si="9"/>
        <v>0</v>
      </c>
      <c r="J116">
        <f t="shared" si="10"/>
        <v>1</v>
      </c>
      <c r="K116">
        <v>0.159</v>
      </c>
      <c r="L116">
        <v>9225</v>
      </c>
      <c r="M116">
        <v>23</v>
      </c>
      <c r="N116">
        <v>88.4</v>
      </c>
      <c r="O116">
        <v>33605.18</v>
      </c>
      <c r="P116">
        <v>5.91</v>
      </c>
      <c r="Q116">
        <v>0</v>
      </c>
      <c r="R116">
        <v>2.8</v>
      </c>
      <c r="S116">
        <v>697287.9</v>
      </c>
      <c r="T116">
        <v>128208.33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f t="shared" si="6"/>
        <v>0</v>
      </c>
      <c r="F117">
        <f t="shared" si="7"/>
        <v>0</v>
      </c>
      <c r="G117">
        <f t="shared" si="8"/>
        <v>1</v>
      </c>
      <c r="H117">
        <f t="shared" si="11"/>
        <v>1</v>
      </c>
      <c r="I117">
        <f t="shared" si="9"/>
        <v>0</v>
      </c>
      <c r="J117">
        <f t="shared" si="10"/>
        <v>0</v>
      </c>
      <c r="K117">
        <v>0.13900000000000001</v>
      </c>
      <c r="L117">
        <v>9249</v>
      </c>
      <c r="M117">
        <v>23</v>
      </c>
      <c r="N117">
        <v>92.5</v>
      </c>
      <c r="O117">
        <v>25990.54</v>
      </c>
      <c r="P117">
        <v>6.37</v>
      </c>
      <c r="Q117">
        <v>0</v>
      </c>
      <c r="R117">
        <v>3.3</v>
      </c>
      <c r="S117">
        <v>718074.79</v>
      </c>
      <c r="T117">
        <v>115819.87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f t="shared" si="6"/>
        <v>0</v>
      </c>
      <c r="F118">
        <f t="shared" si="7"/>
        <v>0</v>
      </c>
      <c r="G118">
        <f t="shared" si="8"/>
        <v>1</v>
      </c>
      <c r="H118">
        <f t="shared" si="11"/>
        <v>1</v>
      </c>
      <c r="I118">
        <f t="shared" si="9"/>
        <v>0</v>
      </c>
      <c r="J118">
        <f t="shared" si="10"/>
        <v>0</v>
      </c>
      <c r="K118">
        <v>0.19</v>
      </c>
      <c r="L118">
        <v>7821</v>
      </c>
      <c r="M118">
        <v>17</v>
      </c>
      <c r="N118">
        <v>91</v>
      </c>
      <c r="O118">
        <v>43685.14</v>
      </c>
      <c r="P118">
        <v>2.4900000000000002</v>
      </c>
      <c r="Q118">
        <v>1</v>
      </c>
      <c r="R118">
        <v>4.7</v>
      </c>
      <c r="S118">
        <v>714942.43</v>
      </c>
      <c r="T118">
        <v>94697.71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f t="shared" si="6"/>
        <v>0</v>
      </c>
      <c r="F119">
        <f t="shared" si="7"/>
        <v>0</v>
      </c>
      <c r="G119">
        <f t="shared" si="8"/>
        <v>1</v>
      </c>
      <c r="H119">
        <f t="shared" si="11"/>
        <v>1</v>
      </c>
      <c r="I119">
        <f t="shared" si="9"/>
        <v>0</v>
      </c>
      <c r="J119">
        <f t="shared" si="10"/>
        <v>0</v>
      </c>
      <c r="K119">
        <v>0.151</v>
      </c>
      <c r="L119">
        <v>8434</v>
      </c>
      <c r="M119">
        <v>19</v>
      </c>
      <c r="N119">
        <v>84.1</v>
      </c>
      <c r="O119">
        <v>57360.01</v>
      </c>
      <c r="P119">
        <v>1.56</v>
      </c>
      <c r="Q119">
        <v>0</v>
      </c>
      <c r="R119">
        <v>4.7</v>
      </c>
      <c r="S119">
        <v>820519.04</v>
      </c>
      <c r="T119">
        <v>99035.88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f t="shared" si="6"/>
        <v>0</v>
      </c>
      <c r="F120">
        <f t="shared" si="7"/>
        <v>0</v>
      </c>
      <c r="G120">
        <f t="shared" si="8"/>
        <v>1</v>
      </c>
      <c r="H120">
        <f t="shared" si="11"/>
        <v>1</v>
      </c>
      <c r="I120">
        <f t="shared" si="9"/>
        <v>0</v>
      </c>
      <c r="J120">
        <f t="shared" si="10"/>
        <v>0</v>
      </c>
      <c r="K120">
        <v>0.13300000000000001</v>
      </c>
      <c r="L120">
        <v>8512</v>
      </c>
      <c r="M120">
        <v>18</v>
      </c>
      <c r="N120">
        <v>96.8</v>
      </c>
      <c r="O120">
        <v>42415.47</v>
      </c>
      <c r="P120">
        <v>14.95</v>
      </c>
      <c r="Q120">
        <v>0</v>
      </c>
      <c r="R120">
        <v>4.5999999999999996</v>
      </c>
      <c r="S120">
        <v>684217.32</v>
      </c>
      <c r="T120">
        <v>136217.19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f t="shared" si="6"/>
        <v>1</v>
      </c>
      <c r="F121">
        <f t="shared" si="7"/>
        <v>0</v>
      </c>
      <c r="G121">
        <f t="shared" si="8"/>
        <v>0</v>
      </c>
      <c r="H121">
        <f t="shared" si="11"/>
        <v>0</v>
      </c>
      <c r="I121">
        <f t="shared" si="9"/>
        <v>0</v>
      </c>
      <c r="J121">
        <f t="shared" si="10"/>
        <v>0</v>
      </c>
      <c r="K121">
        <v>0.23200000000000001</v>
      </c>
      <c r="L121">
        <v>7816</v>
      </c>
      <c r="M121">
        <v>19</v>
      </c>
      <c r="N121">
        <v>95.7</v>
      </c>
      <c r="O121">
        <v>54968.98</v>
      </c>
      <c r="P121">
        <v>7.85</v>
      </c>
      <c r="Q121">
        <v>0</v>
      </c>
      <c r="R121">
        <v>4.7</v>
      </c>
      <c r="S121">
        <v>735480.19</v>
      </c>
      <c r="T121">
        <v>88342.11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f t="shared" si="6"/>
        <v>1</v>
      </c>
      <c r="F122">
        <f t="shared" si="7"/>
        <v>0</v>
      </c>
      <c r="G122">
        <f t="shared" si="8"/>
        <v>0</v>
      </c>
      <c r="H122">
        <f t="shared" si="11"/>
        <v>0</v>
      </c>
      <c r="I122">
        <f t="shared" si="9"/>
        <v>1</v>
      </c>
      <c r="J122">
        <f t="shared" si="10"/>
        <v>0</v>
      </c>
      <c r="K122">
        <v>8.7999999999999995E-2</v>
      </c>
      <c r="L122">
        <v>3853</v>
      </c>
      <c r="M122">
        <v>13</v>
      </c>
      <c r="N122">
        <v>83</v>
      </c>
      <c r="O122">
        <v>43896.13</v>
      </c>
      <c r="P122">
        <v>6.8</v>
      </c>
      <c r="Q122">
        <v>0</v>
      </c>
      <c r="R122">
        <v>4.4000000000000004</v>
      </c>
      <c r="S122">
        <v>509484.81</v>
      </c>
      <c r="T122">
        <v>85742.36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f t="shared" si="6"/>
        <v>1</v>
      </c>
      <c r="F123">
        <f t="shared" si="7"/>
        <v>0</v>
      </c>
      <c r="G123">
        <f t="shared" si="8"/>
        <v>0</v>
      </c>
      <c r="H123">
        <f t="shared" si="11"/>
        <v>0</v>
      </c>
      <c r="I123">
        <f t="shared" si="9"/>
        <v>1</v>
      </c>
      <c r="J123">
        <f t="shared" si="10"/>
        <v>0</v>
      </c>
      <c r="K123">
        <v>0</v>
      </c>
      <c r="L123">
        <v>3694</v>
      </c>
      <c r="M123">
        <v>14</v>
      </c>
      <c r="N123">
        <v>89.4</v>
      </c>
      <c r="O123">
        <v>83044.17</v>
      </c>
      <c r="P123">
        <v>2.2000000000000002</v>
      </c>
      <c r="Q123">
        <v>0</v>
      </c>
      <c r="R123">
        <v>3.7</v>
      </c>
      <c r="S123">
        <v>654317.09</v>
      </c>
      <c r="T123">
        <v>121446.89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f t="shared" si="6"/>
        <v>1</v>
      </c>
      <c r="F124">
        <f t="shared" si="7"/>
        <v>0</v>
      </c>
      <c r="G124">
        <f t="shared" si="8"/>
        <v>0</v>
      </c>
      <c r="H124">
        <f t="shared" si="11"/>
        <v>0</v>
      </c>
      <c r="I124">
        <f t="shared" si="9"/>
        <v>1</v>
      </c>
      <c r="J124">
        <f t="shared" si="10"/>
        <v>0</v>
      </c>
      <c r="K124">
        <v>6.9000000000000006E-2</v>
      </c>
      <c r="L124">
        <v>4423</v>
      </c>
      <c r="M124">
        <v>15</v>
      </c>
      <c r="N124">
        <v>85.7</v>
      </c>
      <c r="O124">
        <v>48396.13</v>
      </c>
      <c r="P124">
        <v>1.88</v>
      </c>
      <c r="Q124">
        <v>0</v>
      </c>
      <c r="R124">
        <v>3.9</v>
      </c>
      <c r="S124">
        <v>557487.26</v>
      </c>
      <c r="T124">
        <v>76432.19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f t="shared" si="6"/>
        <v>0</v>
      </c>
      <c r="F125">
        <f t="shared" si="7"/>
        <v>1</v>
      </c>
      <c r="G125">
        <f t="shared" si="8"/>
        <v>0</v>
      </c>
      <c r="H125">
        <f t="shared" si="11"/>
        <v>0</v>
      </c>
      <c r="I125">
        <f t="shared" si="9"/>
        <v>1</v>
      </c>
      <c r="J125">
        <f t="shared" si="10"/>
        <v>0</v>
      </c>
      <c r="K125">
        <v>0.216</v>
      </c>
      <c r="L125">
        <v>1906</v>
      </c>
      <c r="M125">
        <v>10</v>
      </c>
      <c r="N125">
        <v>97.8</v>
      </c>
      <c r="O125">
        <v>19063.48</v>
      </c>
      <c r="P125">
        <v>15.79</v>
      </c>
      <c r="Q125">
        <v>0</v>
      </c>
      <c r="R125">
        <v>4.4000000000000004</v>
      </c>
      <c r="S125">
        <v>441275.42</v>
      </c>
      <c r="T125">
        <v>58234.87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f t="shared" si="6"/>
        <v>0</v>
      </c>
      <c r="F126">
        <f t="shared" si="7"/>
        <v>1</v>
      </c>
      <c r="G126">
        <f t="shared" si="8"/>
        <v>0</v>
      </c>
      <c r="H126">
        <f t="shared" si="11"/>
        <v>0</v>
      </c>
      <c r="I126">
        <f t="shared" si="9"/>
        <v>1</v>
      </c>
      <c r="J126">
        <f t="shared" si="10"/>
        <v>0</v>
      </c>
      <c r="K126">
        <v>0.123</v>
      </c>
      <c r="L126">
        <v>10396</v>
      </c>
      <c r="M126">
        <v>25</v>
      </c>
      <c r="N126">
        <v>88.1</v>
      </c>
      <c r="O126">
        <v>61541.21</v>
      </c>
      <c r="P126">
        <v>2.34</v>
      </c>
      <c r="Q126">
        <v>1</v>
      </c>
      <c r="R126">
        <v>4.8</v>
      </c>
      <c r="S126">
        <v>914544.17</v>
      </c>
      <c r="T126">
        <v>79831.73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f t="shared" si="6"/>
        <v>0</v>
      </c>
      <c r="F127">
        <f t="shared" si="7"/>
        <v>1</v>
      </c>
      <c r="G127">
        <f t="shared" si="8"/>
        <v>0</v>
      </c>
      <c r="H127">
        <f t="shared" si="11"/>
        <v>0</v>
      </c>
      <c r="I127">
        <f t="shared" si="9"/>
        <v>1</v>
      </c>
      <c r="J127">
        <f t="shared" si="10"/>
        <v>0</v>
      </c>
      <c r="K127">
        <v>0.17599999999999999</v>
      </c>
      <c r="L127">
        <v>11076</v>
      </c>
      <c r="M127">
        <v>27</v>
      </c>
      <c r="N127">
        <v>98.3</v>
      </c>
      <c r="O127">
        <v>44747</v>
      </c>
      <c r="P127">
        <v>0.54</v>
      </c>
      <c r="Q127">
        <v>0</v>
      </c>
      <c r="R127">
        <v>4.4000000000000004</v>
      </c>
      <c r="S127">
        <v>842439.67</v>
      </c>
      <c r="T127">
        <v>169983.63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f t="shared" si="6"/>
        <v>0</v>
      </c>
      <c r="F128">
        <f t="shared" si="7"/>
        <v>1</v>
      </c>
      <c r="G128">
        <f t="shared" si="8"/>
        <v>0</v>
      </c>
      <c r="H128">
        <f t="shared" si="11"/>
        <v>0</v>
      </c>
      <c r="I128">
        <f t="shared" si="9"/>
        <v>1</v>
      </c>
      <c r="J128">
        <f t="shared" si="10"/>
        <v>0</v>
      </c>
      <c r="K128">
        <v>0.20399999999999999</v>
      </c>
      <c r="L128">
        <v>9574</v>
      </c>
      <c r="M128">
        <v>20</v>
      </c>
      <c r="N128">
        <v>88.2</v>
      </c>
      <c r="O128">
        <v>56517.9</v>
      </c>
      <c r="P128">
        <v>5.37</v>
      </c>
      <c r="Q128">
        <v>1</v>
      </c>
      <c r="R128">
        <v>4.9000000000000004</v>
      </c>
      <c r="S128">
        <v>842157.92</v>
      </c>
      <c r="T128">
        <v>107348.22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f t="shared" si="6"/>
        <v>0</v>
      </c>
      <c r="F129">
        <f t="shared" si="7"/>
        <v>0</v>
      </c>
      <c r="G129">
        <f t="shared" si="8"/>
        <v>0</v>
      </c>
      <c r="H129">
        <f t="shared" si="11"/>
        <v>0</v>
      </c>
      <c r="I129">
        <f t="shared" si="9"/>
        <v>1</v>
      </c>
      <c r="J129">
        <f t="shared" si="10"/>
        <v>0</v>
      </c>
      <c r="K129">
        <v>9.6000000000000002E-2</v>
      </c>
      <c r="L129">
        <v>8221</v>
      </c>
      <c r="M129">
        <v>19</v>
      </c>
      <c r="N129">
        <v>81.5</v>
      </c>
      <c r="O129">
        <v>37828.5</v>
      </c>
      <c r="P129">
        <v>3.19</v>
      </c>
      <c r="Q129">
        <v>0</v>
      </c>
      <c r="R129">
        <v>4.8</v>
      </c>
      <c r="S129">
        <v>697155.3</v>
      </c>
      <c r="T129">
        <v>136408.54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f t="shared" ref="E130:E193" si="12">IF(C131="North",1,0)</f>
        <v>0</v>
      </c>
      <c r="F130">
        <f t="shared" ref="F130:F193" si="13">IF(C131="South",1,0)</f>
        <v>0</v>
      </c>
      <c r="G130">
        <f t="shared" ref="G130:G193" si="14">IF(C131="West",1,0)</f>
        <v>0</v>
      </c>
      <c r="H130">
        <f t="shared" si="11"/>
        <v>0</v>
      </c>
      <c r="I130">
        <f t="shared" ref="I130:I193" si="15">IF(D130="High Street",1,0)</f>
        <v>1</v>
      </c>
      <c r="J130">
        <f t="shared" ref="J130:J193" si="16">IF(D131="Mall",1,0)</f>
        <v>0</v>
      </c>
      <c r="K130">
        <v>0.14199999999999999</v>
      </c>
      <c r="L130">
        <v>10618</v>
      </c>
      <c r="M130">
        <v>27</v>
      </c>
      <c r="N130">
        <v>88.3</v>
      </c>
      <c r="O130">
        <v>66250.53</v>
      </c>
      <c r="P130">
        <v>1.1000000000000001</v>
      </c>
      <c r="Q130">
        <v>1</v>
      </c>
      <c r="R130">
        <v>4.4000000000000004</v>
      </c>
      <c r="S130">
        <v>849018.3</v>
      </c>
      <c r="T130">
        <v>149035.13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f t="shared" si="12"/>
        <v>0</v>
      </c>
      <c r="F131">
        <f t="shared" si="13"/>
        <v>0</v>
      </c>
      <c r="G131">
        <f t="shared" si="14"/>
        <v>0</v>
      </c>
      <c r="H131">
        <f t="shared" ref="H131:H194" si="17">IF(D132="Residential",1,0)</f>
        <v>0</v>
      </c>
      <c r="I131">
        <f t="shared" si="15"/>
        <v>1</v>
      </c>
      <c r="J131">
        <f t="shared" si="16"/>
        <v>0</v>
      </c>
      <c r="K131">
        <v>0.20699999999999999</v>
      </c>
      <c r="L131">
        <v>10596</v>
      </c>
      <c r="M131">
        <v>25</v>
      </c>
      <c r="N131">
        <v>81.2</v>
      </c>
      <c r="O131">
        <v>68410.929999999993</v>
      </c>
      <c r="P131">
        <v>0.21</v>
      </c>
      <c r="Q131">
        <v>0</v>
      </c>
      <c r="R131">
        <v>4</v>
      </c>
      <c r="S131">
        <v>801830.35</v>
      </c>
      <c r="T131">
        <v>114875.32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f t="shared" si="12"/>
        <v>0</v>
      </c>
      <c r="F132">
        <f t="shared" si="13"/>
        <v>0</v>
      </c>
      <c r="G132">
        <f t="shared" si="14"/>
        <v>0</v>
      </c>
      <c r="H132">
        <f t="shared" si="17"/>
        <v>0</v>
      </c>
      <c r="I132">
        <f t="shared" si="15"/>
        <v>1</v>
      </c>
      <c r="J132">
        <f t="shared" si="16"/>
        <v>0</v>
      </c>
      <c r="K132">
        <v>0.14399999999999999</v>
      </c>
      <c r="L132">
        <v>9619</v>
      </c>
      <c r="M132">
        <v>19</v>
      </c>
      <c r="N132">
        <v>93.8</v>
      </c>
      <c r="O132">
        <v>50735.63</v>
      </c>
      <c r="P132">
        <v>5.12</v>
      </c>
      <c r="Q132">
        <v>1</v>
      </c>
      <c r="R132">
        <v>4.5</v>
      </c>
      <c r="S132">
        <v>725235.28</v>
      </c>
      <c r="T132">
        <v>121632.24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f t="shared" si="12"/>
        <v>1</v>
      </c>
      <c r="F133">
        <f t="shared" si="13"/>
        <v>0</v>
      </c>
      <c r="G133">
        <f t="shared" si="14"/>
        <v>0</v>
      </c>
      <c r="H133">
        <f t="shared" si="17"/>
        <v>0</v>
      </c>
      <c r="I133">
        <f t="shared" si="15"/>
        <v>1</v>
      </c>
      <c r="J133">
        <f t="shared" si="16"/>
        <v>0</v>
      </c>
      <c r="K133">
        <v>8.8999999999999996E-2</v>
      </c>
      <c r="L133">
        <v>10836</v>
      </c>
      <c r="M133">
        <v>25</v>
      </c>
      <c r="N133">
        <v>85</v>
      </c>
      <c r="O133">
        <v>66455.8</v>
      </c>
      <c r="P133">
        <v>9.77</v>
      </c>
      <c r="Q133">
        <v>0</v>
      </c>
      <c r="R133">
        <v>4.5</v>
      </c>
      <c r="S133">
        <v>811452.72</v>
      </c>
      <c r="T133">
        <v>131325.67000000001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f t="shared" si="12"/>
        <v>1</v>
      </c>
      <c r="F134">
        <f t="shared" si="13"/>
        <v>0</v>
      </c>
      <c r="G134">
        <f t="shared" si="14"/>
        <v>0</v>
      </c>
      <c r="H134">
        <f t="shared" si="17"/>
        <v>0</v>
      </c>
      <c r="I134">
        <f t="shared" si="15"/>
        <v>1</v>
      </c>
      <c r="J134">
        <f t="shared" si="16"/>
        <v>0</v>
      </c>
      <c r="K134">
        <v>7.9000000000000001E-2</v>
      </c>
      <c r="L134">
        <v>3043</v>
      </c>
      <c r="M134">
        <v>9</v>
      </c>
      <c r="N134">
        <v>87.9</v>
      </c>
      <c r="O134">
        <v>70276.28</v>
      </c>
      <c r="P134">
        <v>3.77</v>
      </c>
      <c r="Q134">
        <v>0</v>
      </c>
      <c r="R134">
        <v>4.4000000000000004</v>
      </c>
      <c r="S134">
        <v>527300.13</v>
      </c>
      <c r="T134">
        <v>84197.87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f t="shared" si="12"/>
        <v>1</v>
      </c>
      <c r="F135">
        <f t="shared" si="13"/>
        <v>0</v>
      </c>
      <c r="G135">
        <f t="shared" si="14"/>
        <v>0</v>
      </c>
      <c r="H135">
        <f t="shared" si="17"/>
        <v>0</v>
      </c>
      <c r="I135">
        <f t="shared" si="15"/>
        <v>1</v>
      </c>
      <c r="J135">
        <f t="shared" si="16"/>
        <v>0</v>
      </c>
      <c r="K135">
        <v>0.19600000000000001</v>
      </c>
      <c r="L135">
        <v>1814</v>
      </c>
      <c r="M135">
        <v>8</v>
      </c>
      <c r="N135">
        <v>81.099999999999994</v>
      </c>
      <c r="O135">
        <v>22071.64</v>
      </c>
      <c r="P135">
        <v>0.78</v>
      </c>
      <c r="Q135">
        <v>0</v>
      </c>
      <c r="R135">
        <v>4</v>
      </c>
      <c r="S135">
        <v>400831.65</v>
      </c>
      <c r="T135">
        <v>70979.31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f t="shared" si="12"/>
        <v>1</v>
      </c>
      <c r="F136">
        <f t="shared" si="13"/>
        <v>0</v>
      </c>
      <c r="G136">
        <f t="shared" si="14"/>
        <v>0</v>
      </c>
      <c r="H136">
        <f t="shared" si="17"/>
        <v>0</v>
      </c>
      <c r="I136">
        <f t="shared" si="15"/>
        <v>1</v>
      </c>
      <c r="J136">
        <f t="shared" si="16"/>
        <v>0</v>
      </c>
      <c r="K136">
        <v>8.5999999999999993E-2</v>
      </c>
      <c r="L136">
        <v>3618</v>
      </c>
      <c r="M136">
        <v>11</v>
      </c>
      <c r="N136">
        <v>95.6</v>
      </c>
      <c r="O136">
        <v>52285.45</v>
      </c>
      <c r="P136">
        <v>5.17</v>
      </c>
      <c r="Q136">
        <v>1</v>
      </c>
      <c r="R136">
        <v>4.4000000000000004</v>
      </c>
      <c r="S136">
        <v>593247.25</v>
      </c>
      <c r="T136">
        <v>81240.289999999994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f t="shared" si="12"/>
        <v>0</v>
      </c>
      <c r="F137">
        <f t="shared" si="13"/>
        <v>1</v>
      </c>
      <c r="G137">
        <f t="shared" si="14"/>
        <v>0</v>
      </c>
      <c r="H137">
        <f t="shared" si="17"/>
        <v>1</v>
      </c>
      <c r="I137">
        <f t="shared" si="15"/>
        <v>1</v>
      </c>
      <c r="J137">
        <f t="shared" si="16"/>
        <v>0</v>
      </c>
      <c r="K137">
        <v>0.182</v>
      </c>
      <c r="L137">
        <v>1963</v>
      </c>
      <c r="M137">
        <v>8</v>
      </c>
      <c r="N137">
        <v>89.8</v>
      </c>
      <c r="O137">
        <v>70366.759999999995</v>
      </c>
      <c r="P137">
        <v>3.2</v>
      </c>
      <c r="Q137">
        <v>0</v>
      </c>
      <c r="R137">
        <v>4.5999999999999996</v>
      </c>
      <c r="S137">
        <v>529075.94999999995</v>
      </c>
      <c r="T137">
        <v>95978.83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f t="shared" si="12"/>
        <v>0</v>
      </c>
      <c r="F138">
        <f t="shared" si="13"/>
        <v>1</v>
      </c>
      <c r="G138">
        <f t="shared" si="14"/>
        <v>0</v>
      </c>
      <c r="H138">
        <f t="shared" si="17"/>
        <v>1</v>
      </c>
      <c r="I138">
        <f t="shared" si="15"/>
        <v>0</v>
      </c>
      <c r="J138">
        <f t="shared" si="16"/>
        <v>0</v>
      </c>
      <c r="K138">
        <v>4.8000000000000001E-2</v>
      </c>
      <c r="L138">
        <v>7888</v>
      </c>
      <c r="M138">
        <v>20</v>
      </c>
      <c r="N138">
        <v>78.099999999999994</v>
      </c>
      <c r="O138">
        <v>71320.66</v>
      </c>
      <c r="P138">
        <v>3.4</v>
      </c>
      <c r="Q138">
        <v>0</v>
      </c>
      <c r="R138">
        <v>4</v>
      </c>
      <c r="S138">
        <v>633638.03</v>
      </c>
      <c r="T138">
        <v>99402.01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f t="shared" si="12"/>
        <v>0</v>
      </c>
      <c r="F139">
        <f t="shared" si="13"/>
        <v>1</v>
      </c>
      <c r="G139">
        <f t="shared" si="14"/>
        <v>0</v>
      </c>
      <c r="H139">
        <f t="shared" si="17"/>
        <v>1</v>
      </c>
      <c r="I139">
        <f t="shared" si="15"/>
        <v>0</v>
      </c>
      <c r="J139">
        <f t="shared" si="16"/>
        <v>0</v>
      </c>
      <c r="K139">
        <v>7.9000000000000001E-2</v>
      </c>
      <c r="L139">
        <v>6244</v>
      </c>
      <c r="M139">
        <v>15</v>
      </c>
      <c r="N139">
        <v>96.3</v>
      </c>
      <c r="O139">
        <v>75109.67</v>
      </c>
      <c r="P139">
        <v>7.38</v>
      </c>
      <c r="Q139">
        <v>0</v>
      </c>
      <c r="R139">
        <v>3.7</v>
      </c>
      <c r="S139">
        <v>743348.84</v>
      </c>
      <c r="T139">
        <v>104186.09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f t="shared" si="12"/>
        <v>0</v>
      </c>
      <c r="F140">
        <f t="shared" si="13"/>
        <v>1</v>
      </c>
      <c r="G140">
        <f t="shared" si="14"/>
        <v>0</v>
      </c>
      <c r="H140">
        <f t="shared" si="17"/>
        <v>1</v>
      </c>
      <c r="I140">
        <f t="shared" si="15"/>
        <v>0</v>
      </c>
      <c r="J140">
        <f t="shared" si="16"/>
        <v>0</v>
      </c>
      <c r="K140">
        <v>0.152</v>
      </c>
      <c r="L140">
        <v>6544</v>
      </c>
      <c r="M140">
        <v>18</v>
      </c>
      <c r="N140">
        <v>90.2</v>
      </c>
      <c r="O140">
        <v>69779</v>
      </c>
      <c r="P140">
        <v>0.85</v>
      </c>
      <c r="Q140">
        <v>1</v>
      </c>
      <c r="R140">
        <v>3.3</v>
      </c>
      <c r="S140">
        <v>758827.64</v>
      </c>
      <c r="T140">
        <v>161439.48000000001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f t="shared" si="12"/>
        <v>0</v>
      </c>
      <c r="F141">
        <f t="shared" si="13"/>
        <v>0</v>
      </c>
      <c r="G141">
        <f t="shared" si="14"/>
        <v>1</v>
      </c>
      <c r="H141">
        <f t="shared" si="17"/>
        <v>0</v>
      </c>
      <c r="I141">
        <f t="shared" si="15"/>
        <v>0</v>
      </c>
      <c r="J141">
        <f t="shared" si="16"/>
        <v>0</v>
      </c>
      <c r="K141">
        <v>0.187</v>
      </c>
      <c r="L141">
        <v>5465</v>
      </c>
      <c r="M141">
        <v>12</v>
      </c>
      <c r="N141">
        <v>90</v>
      </c>
      <c r="O141">
        <v>44211.95</v>
      </c>
      <c r="P141">
        <v>2.89</v>
      </c>
      <c r="Q141">
        <v>0</v>
      </c>
      <c r="R141">
        <v>3.6</v>
      </c>
      <c r="S141">
        <v>646559.71</v>
      </c>
      <c r="T141">
        <v>97981.75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f t="shared" si="12"/>
        <v>0</v>
      </c>
      <c r="F142">
        <f t="shared" si="13"/>
        <v>0</v>
      </c>
      <c r="G142">
        <f t="shared" si="14"/>
        <v>1</v>
      </c>
      <c r="H142">
        <f t="shared" si="17"/>
        <v>0</v>
      </c>
      <c r="I142">
        <f t="shared" si="15"/>
        <v>1</v>
      </c>
      <c r="J142">
        <f t="shared" si="16"/>
        <v>0</v>
      </c>
      <c r="K142">
        <v>0.23400000000000001</v>
      </c>
      <c r="L142">
        <v>6427</v>
      </c>
      <c r="M142">
        <v>14</v>
      </c>
      <c r="N142">
        <v>88.8</v>
      </c>
      <c r="O142">
        <v>51430.31</v>
      </c>
      <c r="P142">
        <v>0.77</v>
      </c>
      <c r="Q142">
        <v>0</v>
      </c>
      <c r="R142">
        <v>4.0999999999999996</v>
      </c>
      <c r="S142">
        <v>715890.53</v>
      </c>
      <c r="T142">
        <v>109032.15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f t="shared" si="12"/>
        <v>0</v>
      </c>
      <c r="F143">
        <f t="shared" si="13"/>
        <v>0</v>
      </c>
      <c r="G143">
        <f t="shared" si="14"/>
        <v>1</v>
      </c>
      <c r="H143">
        <f t="shared" si="17"/>
        <v>0</v>
      </c>
      <c r="I143">
        <f t="shared" si="15"/>
        <v>1</v>
      </c>
      <c r="J143">
        <f t="shared" si="16"/>
        <v>0</v>
      </c>
      <c r="K143">
        <v>3.7999999999999999E-2</v>
      </c>
      <c r="L143">
        <v>6704</v>
      </c>
      <c r="M143">
        <v>15</v>
      </c>
      <c r="N143">
        <v>94.2</v>
      </c>
      <c r="O143">
        <v>45706.49</v>
      </c>
      <c r="P143">
        <v>2.92</v>
      </c>
      <c r="Q143">
        <v>0</v>
      </c>
      <c r="R143">
        <v>4.2</v>
      </c>
      <c r="S143">
        <v>715097.57</v>
      </c>
      <c r="T143">
        <v>151875.85999999999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f t="shared" si="12"/>
        <v>0</v>
      </c>
      <c r="F144">
        <f t="shared" si="13"/>
        <v>0</v>
      </c>
      <c r="G144">
        <f t="shared" si="14"/>
        <v>1</v>
      </c>
      <c r="H144">
        <f t="shared" si="17"/>
        <v>0</v>
      </c>
      <c r="I144">
        <f t="shared" si="15"/>
        <v>1</v>
      </c>
      <c r="J144">
        <f t="shared" si="16"/>
        <v>0</v>
      </c>
      <c r="K144">
        <v>6.9000000000000006E-2</v>
      </c>
      <c r="L144">
        <v>5645</v>
      </c>
      <c r="M144">
        <v>18</v>
      </c>
      <c r="N144">
        <v>88.5</v>
      </c>
      <c r="O144">
        <v>44034.6</v>
      </c>
      <c r="P144">
        <v>3.07</v>
      </c>
      <c r="Q144">
        <v>0</v>
      </c>
      <c r="R144">
        <v>3.8</v>
      </c>
      <c r="S144">
        <v>682639.28</v>
      </c>
      <c r="T144">
        <v>77557.53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f t="shared" si="12"/>
        <v>1</v>
      </c>
      <c r="F145">
        <f t="shared" si="13"/>
        <v>0</v>
      </c>
      <c r="G145">
        <f t="shared" si="14"/>
        <v>0</v>
      </c>
      <c r="H145">
        <f t="shared" si="17"/>
        <v>1</v>
      </c>
      <c r="I145">
        <f t="shared" si="15"/>
        <v>1</v>
      </c>
      <c r="J145">
        <f t="shared" si="16"/>
        <v>0</v>
      </c>
      <c r="K145">
        <v>0.182</v>
      </c>
      <c r="L145">
        <v>6089</v>
      </c>
      <c r="M145">
        <v>19</v>
      </c>
      <c r="N145">
        <v>94</v>
      </c>
      <c r="O145">
        <v>50198.12</v>
      </c>
      <c r="P145">
        <v>9.6999999999999993</v>
      </c>
      <c r="Q145">
        <v>0</v>
      </c>
      <c r="R145">
        <v>3.9</v>
      </c>
      <c r="S145">
        <v>695098.51</v>
      </c>
      <c r="T145">
        <v>108192.75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f t="shared" si="12"/>
        <v>1</v>
      </c>
      <c r="F146">
        <f t="shared" si="13"/>
        <v>0</v>
      </c>
      <c r="G146">
        <f t="shared" si="14"/>
        <v>0</v>
      </c>
      <c r="H146">
        <f t="shared" si="17"/>
        <v>1</v>
      </c>
      <c r="I146">
        <f t="shared" si="15"/>
        <v>0</v>
      </c>
      <c r="J146">
        <f t="shared" si="16"/>
        <v>0</v>
      </c>
      <c r="K146">
        <v>0.16900000000000001</v>
      </c>
      <c r="L146">
        <v>4312</v>
      </c>
      <c r="M146">
        <v>12</v>
      </c>
      <c r="N146">
        <v>90.2</v>
      </c>
      <c r="O146">
        <v>70488.2</v>
      </c>
      <c r="P146">
        <v>3.71</v>
      </c>
      <c r="Q146">
        <v>0</v>
      </c>
      <c r="R146">
        <v>3.2</v>
      </c>
      <c r="S146">
        <v>577732.56999999995</v>
      </c>
      <c r="T146">
        <v>93804.27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f t="shared" si="12"/>
        <v>1</v>
      </c>
      <c r="F147">
        <f t="shared" si="13"/>
        <v>0</v>
      </c>
      <c r="G147">
        <f t="shared" si="14"/>
        <v>0</v>
      </c>
      <c r="H147">
        <f t="shared" si="17"/>
        <v>1</v>
      </c>
      <c r="I147">
        <f t="shared" si="15"/>
        <v>0</v>
      </c>
      <c r="J147">
        <f t="shared" si="16"/>
        <v>0</v>
      </c>
      <c r="K147">
        <v>0.06</v>
      </c>
      <c r="L147">
        <v>3152</v>
      </c>
      <c r="M147">
        <v>13</v>
      </c>
      <c r="N147">
        <v>93.7</v>
      </c>
      <c r="O147">
        <v>50909.27</v>
      </c>
      <c r="P147">
        <v>10.79</v>
      </c>
      <c r="Q147">
        <v>0</v>
      </c>
      <c r="R147">
        <v>3.5</v>
      </c>
      <c r="S147">
        <v>537058.32999999996</v>
      </c>
      <c r="T147">
        <v>93555.71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f t="shared" si="12"/>
        <v>1</v>
      </c>
      <c r="F148">
        <f t="shared" si="13"/>
        <v>0</v>
      </c>
      <c r="G148">
        <f t="shared" si="14"/>
        <v>0</v>
      </c>
      <c r="H148">
        <f t="shared" si="17"/>
        <v>1</v>
      </c>
      <c r="I148">
        <f t="shared" si="15"/>
        <v>0</v>
      </c>
      <c r="J148">
        <f t="shared" si="16"/>
        <v>0</v>
      </c>
      <c r="K148">
        <v>0.156</v>
      </c>
      <c r="L148">
        <v>4259</v>
      </c>
      <c r="M148">
        <v>15</v>
      </c>
      <c r="N148">
        <v>93.7</v>
      </c>
      <c r="O148">
        <v>53351.7</v>
      </c>
      <c r="P148">
        <v>6.03</v>
      </c>
      <c r="Q148">
        <v>0</v>
      </c>
      <c r="R148">
        <v>3.4</v>
      </c>
      <c r="S148">
        <v>601568.87</v>
      </c>
      <c r="T148">
        <v>91634.82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f t="shared" si="12"/>
        <v>0</v>
      </c>
      <c r="F149">
        <f t="shared" si="13"/>
        <v>1</v>
      </c>
      <c r="G149">
        <f t="shared" si="14"/>
        <v>0</v>
      </c>
      <c r="H149">
        <f t="shared" si="17"/>
        <v>0</v>
      </c>
      <c r="I149">
        <f t="shared" si="15"/>
        <v>0</v>
      </c>
      <c r="J149">
        <f t="shared" si="16"/>
        <v>1</v>
      </c>
      <c r="K149">
        <v>0.108</v>
      </c>
      <c r="L149">
        <v>3350</v>
      </c>
      <c r="M149">
        <v>12</v>
      </c>
      <c r="N149">
        <v>89.4</v>
      </c>
      <c r="O149">
        <v>60322.400000000001</v>
      </c>
      <c r="P149">
        <v>4.92</v>
      </c>
      <c r="Q149">
        <v>0</v>
      </c>
      <c r="R149">
        <v>3.4</v>
      </c>
      <c r="S149">
        <v>570964.84</v>
      </c>
      <c r="T149">
        <v>81331.070000000007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f t="shared" si="12"/>
        <v>0</v>
      </c>
      <c r="F150">
        <f t="shared" si="13"/>
        <v>1</v>
      </c>
      <c r="G150">
        <f t="shared" si="14"/>
        <v>0</v>
      </c>
      <c r="H150">
        <f t="shared" si="17"/>
        <v>0</v>
      </c>
      <c r="I150">
        <f t="shared" si="15"/>
        <v>0</v>
      </c>
      <c r="J150">
        <f t="shared" si="16"/>
        <v>1</v>
      </c>
      <c r="K150">
        <v>4.7E-2</v>
      </c>
      <c r="L150">
        <v>5329</v>
      </c>
      <c r="M150">
        <v>17</v>
      </c>
      <c r="N150">
        <v>88.1</v>
      </c>
      <c r="O150">
        <v>51575.68</v>
      </c>
      <c r="P150">
        <v>19.78</v>
      </c>
      <c r="Q150">
        <v>0</v>
      </c>
      <c r="R150">
        <v>3.8</v>
      </c>
      <c r="S150">
        <v>614024.91</v>
      </c>
      <c r="T150">
        <v>84828.93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f t="shared" si="12"/>
        <v>0</v>
      </c>
      <c r="F151">
        <f t="shared" si="13"/>
        <v>1</v>
      </c>
      <c r="G151">
        <f t="shared" si="14"/>
        <v>0</v>
      </c>
      <c r="H151">
        <f t="shared" si="17"/>
        <v>0</v>
      </c>
      <c r="I151">
        <f t="shared" si="15"/>
        <v>0</v>
      </c>
      <c r="J151">
        <f t="shared" si="16"/>
        <v>1</v>
      </c>
      <c r="K151">
        <v>4.3999999999999997E-2</v>
      </c>
      <c r="L151">
        <v>6551</v>
      </c>
      <c r="M151">
        <v>13</v>
      </c>
      <c r="N151">
        <v>99</v>
      </c>
      <c r="O151">
        <v>43319.94</v>
      </c>
      <c r="P151">
        <v>5.45</v>
      </c>
      <c r="Q151">
        <v>0</v>
      </c>
      <c r="R151">
        <v>4.0999999999999996</v>
      </c>
      <c r="S151">
        <v>712868.35</v>
      </c>
      <c r="T151">
        <v>133650.51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f t="shared" si="12"/>
        <v>0</v>
      </c>
      <c r="F152">
        <f t="shared" si="13"/>
        <v>1</v>
      </c>
      <c r="G152">
        <f t="shared" si="14"/>
        <v>0</v>
      </c>
      <c r="H152">
        <f t="shared" si="17"/>
        <v>0</v>
      </c>
      <c r="I152">
        <f t="shared" si="15"/>
        <v>0</v>
      </c>
      <c r="J152">
        <f t="shared" si="16"/>
        <v>1</v>
      </c>
      <c r="K152">
        <v>0.1</v>
      </c>
      <c r="L152">
        <v>5550</v>
      </c>
      <c r="M152">
        <v>12</v>
      </c>
      <c r="N152">
        <v>95</v>
      </c>
      <c r="O152">
        <v>47093.55</v>
      </c>
      <c r="P152">
        <v>2.33</v>
      </c>
      <c r="Q152">
        <v>1</v>
      </c>
      <c r="R152">
        <v>3.7</v>
      </c>
      <c r="S152">
        <v>696744.15</v>
      </c>
      <c r="T152">
        <v>152230.09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f t="shared" si="12"/>
        <v>0</v>
      </c>
      <c r="F153">
        <f t="shared" si="13"/>
        <v>0</v>
      </c>
      <c r="G153">
        <f t="shared" si="14"/>
        <v>0</v>
      </c>
      <c r="H153">
        <f t="shared" si="17"/>
        <v>0</v>
      </c>
      <c r="I153">
        <f t="shared" si="15"/>
        <v>0</v>
      </c>
      <c r="J153">
        <f t="shared" si="16"/>
        <v>0</v>
      </c>
      <c r="K153">
        <v>0.19700000000000001</v>
      </c>
      <c r="L153">
        <v>5911</v>
      </c>
      <c r="M153">
        <v>15</v>
      </c>
      <c r="N153">
        <v>94.3</v>
      </c>
      <c r="O153">
        <v>71855.09</v>
      </c>
      <c r="P153">
        <v>3.55</v>
      </c>
      <c r="Q153">
        <v>0</v>
      </c>
      <c r="R153">
        <v>4.0999999999999996</v>
      </c>
      <c r="S153">
        <v>725847.99</v>
      </c>
      <c r="T153">
        <v>122698.73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f t="shared" si="12"/>
        <v>0</v>
      </c>
      <c r="F154">
        <f t="shared" si="13"/>
        <v>0</v>
      </c>
      <c r="G154">
        <f t="shared" si="14"/>
        <v>0</v>
      </c>
      <c r="H154">
        <f t="shared" si="17"/>
        <v>0</v>
      </c>
      <c r="I154">
        <f t="shared" si="15"/>
        <v>1</v>
      </c>
      <c r="J154">
        <f t="shared" si="16"/>
        <v>0</v>
      </c>
      <c r="K154">
        <v>0.23400000000000001</v>
      </c>
      <c r="L154">
        <v>9674</v>
      </c>
      <c r="M154">
        <v>21</v>
      </c>
      <c r="N154">
        <v>87.4</v>
      </c>
      <c r="O154">
        <v>75645.23</v>
      </c>
      <c r="P154">
        <v>0.2</v>
      </c>
      <c r="Q154">
        <v>0</v>
      </c>
      <c r="R154">
        <v>4.5</v>
      </c>
      <c r="S154">
        <v>785028.25</v>
      </c>
      <c r="T154">
        <v>110726.44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f t="shared" si="12"/>
        <v>0</v>
      </c>
      <c r="F155">
        <f t="shared" si="13"/>
        <v>0</v>
      </c>
      <c r="G155">
        <f t="shared" si="14"/>
        <v>0</v>
      </c>
      <c r="H155">
        <f t="shared" si="17"/>
        <v>0</v>
      </c>
      <c r="I155">
        <f t="shared" si="15"/>
        <v>1</v>
      </c>
      <c r="J155">
        <f t="shared" si="16"/>
        <v>0</v>
      </c>
      <c r="K155">
        <v>0.16900000000000001</v>
      </c>
      <c r="L155">
        <v>6740</v>
      </c>
      <c r="M155">
        <v>18</v>
      </c>
      <c r="N155">
        <v>87</v>
      </c>
      <c r="O155">
        <v>64374.75</v>
      </c>
      <c r="P155">
        <v>2.09</v>
      </c>
      <c r="Q155">
        <v>0</v>
      </c>
      <c r="R155">
        <v>4.2</v>
      </c>
      <c r="S155">
        <v>698492.67</v>
      </c>
      <c r="T155">
        <v>117319.32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f t="shared" si="12"/>
        <v>0</v>
      </c>
      <c r="F156">
        <f t="shared" si="13"/>
        <v>0</v>
      </c>
      <c r="G156">
        <f t="shared" si="14"/>
        <v>0</v>
      </c>
      <c r="H156">
        <f t="shared" si="17"/>
        <v>0</v>
      </c>
      <c r="I156">
        <f t="shared" si="15"/>
        <v>1</v>
      </c>
      <c r="J156">
        <f t="shared" si="16"/>
        <v>0</v>
      </c>
      <c r="K156">
        <v>0.18</v>
      </c>
      <c r="L156">
        <v>7745</v>
      </c>
      <c r="M156">
        <v>16</v>
      </c>
      <c r="N156">
        <v>90.5</v>
      </c>
      <c r="O156">
        <v>61433.84</v>
      </c>
      <c r="P156">
        <v>2.2599999999999998</v>
      </c>
      <c r="Q156">
        <v>0</v>
      </c>
      <c r="R156">
        <v>4.2</v>
      </c>
      <c r="S156">
        <v>685830.24</v>
      </c>
      <c r="T156">
        <v>128736.18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f t="shared" si="12"/>
        <v>1</v>
      </c>
      <c r="F157">
        <f t="shared" si="13"/>
        <v>0</v>
      </c>
      <c r="G157">
        <f t="shared" si="14"/>
        <v>0</v>
      </c>
      <c r="H157">
        <f t="shared" si="17"/>
        <v>0</v>
      </c>
      <c r="I157">
        <f t="shared" si="15"/>
        <v>1</v>
      </c>
      <c r="J157">
        <f t="shared" si="16"/>
        <v>1</v>
      </c>
      <c r="K157">
        <v>0.187</v>
      </c>
      <c r="L157">
        <v>7693</v>
      </c>
      <c r="M157">
        <v>19</v>
      </c>
      <c r="N157">
        <v>90.1</v>
      </c>
      <c r="O157">
        <v>42698.14</v>
      </c>
      <c r="P157">
        <v>0.44</v>
      </c>
      <c r="Q157">
        <v>0</v>
      </c>
      <c r="R157">
        <v>4.4000000000000004</v>
      </c>
      <c r="S157">
        <v>702318.94</v>
      </c>
      <c r="T157">
        <v>112829.29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f t="shared" si="12"/>
        <v>1</v>
      </c>
      <c r="F158">
        <f t="shared" si="13"/>
        <v>0</v>
      </c>
      <c r="G158">
        <f t="shared" si="14"/>
        <v>0</v>
      </c>
      <c r="H158">
        <f t="shared" si="17"/>
        <v>0</v>
      </c>
      <c r="I158">
        <f t="shared" si="15"/>
        <v>0</v>
      </c>
      <c r="J158">
        <f t="shared" si="16"/>
        <v>1</v>
      </c>
      <c r="K158">
        <v>5.7000000000000002E-2</v>
      </c>
      <c r="L158">
        <v>6424</v>
      </c>
      <c r="M158">
        <v>19</v>
      </c>
      <c r="N158">
        <v>85.2</v>
      </c>
      <c r="O158">
        <v>86883.31</v>
      </c>
      <c r="P158">
        <v>3.08</v>
      </c>
      <c r="Q158">
        <v>0</v>
      </c>
      <c r="R158">
        <v>3.9</v>
      </c>
      <c r="S158">
        <v>700078.32</v>
      </c>
      <c r="T158">
        <v>123707.58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f t="shared" si="12"/>
        <v>1</v>
      </c>
      <c r="F159">
        <f t="shared" si="13"/>
        <v>0</v>
      </c>
      <c r="G159">
        <f t="shared" si="14"/>
        <v>0</v>
      </c>
      <c r="H159">
        <f t="shared" si="17"/>
        <v>0</v>
      </c>
      <c r="I159">
        <f t="shared" si="15"/>
        <v>0</v>
      </c>
      <c r="J159">
        <f t="shared" si="16"/>
        <v>1</v>
      </c>
      <c r="K159">
        <v>0.114</v>
      </c>
      <c r="L159">
        <v>5400</v>
      </c>
      <c r="M159">
        <v>11</v>
      </c>
      <c r="N159">
        <v>91.6</v>
      </c>
      <c r="O159">
        <v>41863.08</v>
      </c>
      <c r="P159">
        <v>7.99</v>
      </c>
      <c r="Q159">
        <v>0</v>
      </c>
      <c r="R159">
        <v>3</v>
      </c>
      <c r="S159">
        <v>602002.31999999995</v>
      </c>
      <c r="T159">
        <v>110453.28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f t="shared" si="12"/>
        <v>1</v>
      </c>
      <c r="F160">
        <f t="shared" si="13"/>
        <v>0</v>
      </c>
      <c r="G160">
        <f t="shared" si="14"/>
        <v>0</v>
      </c>
      <c r="H160">
        <f t="shared" si="17"/>
        <v>0</v>
      </c>
      <c r="I160">
        <f t="shared" si="15"/>
        <v>0</v>
      </c>
      <c r="J160">
        <f t="shared" si="16"/>
        <v>1</v>
      </c>
      <c r="K160">
        <v>0.158</v>
      </c>
      <c r="L160">
        <v>7015</v>
      </c>
      <c r="M160">
        <v>18</v>
      </c>
      <c r="N160">
        <v>74.2</v>
      </c>
      <c r="O160">
        <v>56918.16</v>
      </c>
      <c r="P160">
        <v>0.2</v>
      </c>
      <c r="Q160">
        <v>0</v>
      </c>
      <c r="R160">
        <v>3.4</v>
      </c>
      <c r="S160">
        <v>724216.07</v>
      </c>
      <c r="T160">
        <v>100627.56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f t="shared" si="12"/>
        <v>0</v>
      </c>
      <c r="F161">
        <f t="shared" si="13"/>
        <v>1</v>
      </c>
      <c r="G161">
        <f t="shared" si="14"/>
        <v>0</v>
      </c>
      <c r="H161">
        <f t="shared" si="17"/>
        <v>0</v>
      </c>
      <c r="I161">
        <f t="shared" si="15"/>
        <v>0</v>
      </c>
      <c r="J161">
        <f t="shared" si="16"/>
        <v>0</v>
      </c>
      <c r="K161">
        <v>0.159</v>
      </c>
      <c r="L161">
        <v>3847</v>
      </c>
      <c r="M161">
        <v>12</v>
      </c>
      <c r="N161">
        <v>93</v>
      </c>
      <c r="O161">
        <v>23254.57</v>
      </c>
      <c r="P161">
        <v>5.46</v>
      </c>
      <c r="Q161">
        <v>0</v>
      </c>
      <c r="R161">
        <v>3.3</v>
      </c>
      <c r="S161">
        <v>620973.03</v>
      </c>
      <c r="T161">
        <v>72303.850000000006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f t="shared" si="12"/>
        <v>0</v>
      </c>
      <c r="F162">
        <f t="shared" si="13"/>
        <v>1</v>
      </c>
      <c r="G162">
        <f t="shared" si="14"/>
        <v>0</v>
      </c>
      <c r="H162">
        <f t="shared" si="17"/>
        <v>0</v>
      </c>
      <c r="I162">
        <f t="shared" si="15"/>
        <v>1</v>
      </c>
      <c r="J162">
        <f t="shared" si="16"/>
        <v>0</v>
      </c>
      <c r="K162">
        <v>0.17499999999999999</v>
      </c>
      <c r="L162">
        <v>7455</v>
      </c>
      <c r="M162">
        <v>16</v>
      </c>
      <c r="N162">
        <v>90.1</v>
      </c>
      <c r="O162">
        <v>41443.410000000003</v>
      </c>
      <c r="P162">
        <v>4.05</v>
      </c>
      <c r="Q162">
        <v>0</v>
      </c>
      <c r="R162">
        <v>4</v>
      </c>
      <c r="S162">
        <v>650480.06000000006</v>
      </c>
      <c r="T162">
        <v>109012.07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f t="shared" si="12"/>
        <v>0</v>
      </c>
      <c r="F163">
        <f t="shared" si="13"/>
        <v>1</v>
      </c>
      <c r="G163">
        <f t="shared" si="14"/>
        <v>0</v>
      </c>
      <c r="H163">
        <f t="shared" si="17"/>
        <v>0</v>
      </c>
      <c r="I163">
        <f t="shared" si="15"/>
        <v>1</v>
      </c>
      <c r="J163">
        <f t="shared" si="16"/>
        <v>0</v>
      </c>
      <c r="K163">
        <v>3.4000000000000002E-2</v>
      </c>
      <c r="L163">
        <v>6992</v>
      </c>
      <c r="M163">
        <v>20</v>
      </c>
      <c r="N163">
        <v>91</v>
      </c>
      <c r="O163">
        <v>48438.85</v>
      </c>
      <c r="P163">
        <v>4.3600000000000003</v>
      </c>
      <c r="Q163">
        <v>0</v>
      </c>
      <c r="R163">
        <v>4.2</v>
      </c>
      <c r="S163">
        <v>778298.88</v>
      </c>
      <c r="T163">
        <v>130076.72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f t="shared" si="12"/>
        <v>0</v>
      </c>
      <c r="F164">
        <f t="shared" si="13"/>
        <v>1</v>
      </c>
      <c r="G164">
        <f t="shared" si="14"/>
        <v>0</v>
      </c>
      <c r="H164">
        <f t="shared" si="17"/>
        <v>0</v>
      </c>
      <c r="I164">
        <f t="shared" si="15"/>
        <v>1</v>
      </c>
      <c r="J164">
        <f t="shared" si="16"/>
        <v>0</v>
      </c>
      <c r="K164">
        <v>0.193</v>
      </c>
      <c r="L164">
        <v>8038</v>
      </c>
      <c r="M164">
        <v>17</v>
      </c>
      <c r="N164">
        <v>72.599999999999994</v>
      </c>
      <c r="O164">
        <v>57143.3</v>
      </c>
      <c r="P164">
        <v>6</v>
      </c>
      <c r="Q164">
        <v>0</v>
      </c>
      <c r="R164">
        <v>4.2</v>
      </c>
      <c r="S164">
        <v>677096.71</v>
      </c>
      <c r="T164">
        <v>97174.11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f t="shared" si="12"/>
        <v>1</v>
      </c>
      <c r="F165">
        <f t="shared" si="13"/>
        <v>0</v>
      </c>
      <c r="G165">
        <f t="shared" si="14"/>
        <v>0</v>
      </c>
      <c r="H165">
        <f t="shared" si="17"/>
        <v>0</v>
      </c>
      <c r="I165">
        <f t="shared" si="15"/>
        <v>1</v>
      </c>
      <c r="J165">
        <f t="shared" si="16"/>
        <v>1</v>
      </c>
      <c r="K165">
        <v>7.4999999999999997E-2</v>
      </c>
      <c r="L165">
        <v>6055</v>
      </c>
      <c r="M165">
        <v>19</v>
      </c>
      <c r="N165">
        <v>93.8</v>
      </c>
      <c r="O165">
        <v>66870.62</v>
      </c>
      <c r="P165">
        <v>0.54</v>
      </c>
      <c r="Q165">
        <v>0</v>
      </c>
      <c r="R165">
        <v>4.3</v>
      </c>
      <c r="S165">
        <v>692008.64</v>
      </c>
      <c r="T165">
        <v>116337.87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f t="shared" si="12"/>
        <v>1</v>
      </c>
      <c r="F166">
        <f t="shared" si="13"/>
        <v>0</v>
      </c>
      <c r="G166">
        <f t="shared" si="14"/>
        <v>0</v>
      </c>
      <c r="H166">
        <f t="shared" si="17"/>
        <v>0</v>
      </c>
      <c r="I166">
        <f t="shared" si="15"/>
        <v>0</v>
      </c>
      <c r="J166">
        <f t="shared" si="16"/>
        <v>1</v>
      </c>
      <c r="K166">
        <v>0.157</v>
      </c>
      <c r="L166">
        <v>9323</v>
      </c>
      <c r="M166">
        <v>22</v>
      </c>
      <c r="N166">
        <v>82.9</v>
      </c>
      <c r="O166">
        <v>72150.53</v>
      </c>
      <c r="P166">
        <v>11.37</v>
      </c>
      <c r="Q166">
        <v>1</v>
      </c>
      <c r="R166">
        <v>4.3</v>
      </c>
      <c r="S166">
        <v>825797.91</v>
      </c>
      <c r="T166">
        <v>130945.24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f t="shared" si="12"/>
        <v>1</v>
      </c>
      <c r="F167">
        <f t="shared" si="13"/>
        <v>0</v>
      </c>
      <c r="G167">
        <f t="shared" si="14"/>
        <v>0</v>
      </c>
      <c r="H167">
        <f t="shared" si="17"/>
        <v>0</v>
      </c>
      <c r="I167">
        <f t="shared" si="15"/>
        <v>0</v>
      </c>
      <c r="J167">
        <f t="shared" si="16"/>
        <v>1</v>
      </c>
      <c r="K167">
        <v>0.123</v>
      </c>
      <c r="L167">
        <v>8789</v>
      </c>
      <c r="M167">
        <v>22</v>
      </c>
      <c r="N167">
        <v>86.1</v>
      </c>
      <c r="O167">
        <v>35303.300000000003</v>
      </c>
      <c r="P167">
        <v>9.43</v>
      </c>
      <c r="Q167">
        <v>0</v>
      </c>
      <c r="R167">
        <v>4.2</v>
      </c>
      <c r="S167">
        <v>706285.52</v>
      </c>
      <c r="T167">
        <v>138014.72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f t="shared" si="12"/>
        <v>1</v>
      </c>
      <c r="F168">
        <f t="shared" si="13"/>
        <v>0</v>
      </c>
      <c r="G168">
        <f t="shared" si="14"/>
        <v>0</v>
      </c>
      <c r="H168">
        <f t="shared" si="17"/>
        <v>0</v>
      </c>
      <c r="I168">
        <f t="shared" si="15"/>
        <v>0</v>
      </c>
      <c r="J168">
        <f t="shared" si="16"/>
        <v>1</v>
      </c>
      <c r="K168">
        <v>0.09</v>
      </c>
      <c r="L168">
        <v>6939</v>
      </c>
      <c r="M168">
        <v>16</v>
      </c>
      <c r="N168">
        <v>90.3</v>
      </c>
      <c r="O168">
        <v>30301.86</v>
      </c>
      <c r="P168">
        <v>3.49</v>
      </c>
      <c r="Q168">
        <v>0</v>
      </c>
      <c r="R168">
        <v>4</v>
      </c>
      <c r="S168">
        <v>665534.69999999995</v>
      </c>
      <c r="T168">
        <v>113167.73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f t="shared" si="12"/>
        <v>0</v>
      </c>
      <c r="F169">
        <f t="shared" si="13"/>
        <v>0</v>
      </c>
      <c r="G169">
        <f t="shared" si="14"/>
        <v>0</v>
      </c>
      <c r="H169">
        <f t="shared" si="17"/>
        <v>1</v>
      </c>
      <c r="I169">
        <f t="shared" si="15"/>
        <v>0</v>
      </c>
      <c r="J169">
        <f t="shared" si="16"/>
        <v>0</v>
      </c>
      <c r="K169">
        <v>0.126</v>
      </c>
      <c r="L169">
        <v>9440</v>
      </c>
      <c r="M169">
        <v>23</v>
      </c>
      <c r="N169">
        <v>89.2</v>
      </c>
      <c r="O169">
        <v>78432.14</v>
      </c>
      <c r="P169">
        <v>7.86</v>
      </c>
      <c r="Q169">
        <v>0</v>
      </c>
      <c r="R169">
        <v>4.0999999999999996</v>
      </c>
      <c r="S169">
        <v>820729.29</v>
      </c>
      <c r="T169">
        <v>159325.47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f t="shared" si="12"/>
        <v>0</v>
      </c>
      <c r="F170">
        <f t="shared" si="13"/>
        <v>0</v>
      </c>
      <c r="G170">
        <f t="shared" si="14"/>
        <v>0</v>
      </c>
      <c r="H170">
        <f t="shared" si="17"/>
        <v>1</v>
      </c>
      <c r="I170">
        <f t="shared" si="15"/>
        <v>0</v>
      </c>
      <c r="J170">
        <f t="shared" si="16"/>
        <v>0</v>
      </c>
      <c r="K170">
        <v>0.13600000000000001</v>
      </c>
      <c r="L170">
        <v>9374</v>
      </c>
      <c r="M170">
        <v>25</v>
      </c>
      <c r="N170">
        <v>87.1</v>
      </c>
      <c r="O170">
        <v>62059.18</v>
      </c>
      <c r="P170">
        <v>12.55</v>
      </c>
      <c r="Q170">
        <v>0</v>
      </c>
      <c r="R170">
        <v>4.9000000000000004</v>
      </c>
      <c r="S170">
        <v>739831.73</v>
      </c>
      <c r="T170">
        <v>119490.21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f t="shared" si="12"/>
        <v>0</v>
      </c>
      <c r="F171">
        <f t="shared" si="13"/>
        <v>0</v>
      </c>
      <c r="G171">
        <f t="shared" si="14"/>
        <v>0</v>
      </c>
      <c r="H171">
        <f t="shared" si="17"/>
        <v>1</v>
      </c>
      <c r="I171">
        <f t="shared" si="15"/>
        <v>0</v>
      </c>
      <c r="J171">
        <f t="shared" si="16"/>
        <v>0</v>
      </c>
      <c r="K171">
        <v>9.9000000000000005E-2</v>
      </c>
      <c r="L171">
        <v>7576</v>
      </c>
      <c r="M171">
        <v>15</v>
      </c>
      <c r="N171">
        <v>84.1</v>
      </c>
      <c r="O171">
        <v>32834.480000000003</v>
      </c>
      <c r="P171">
        <v>3.48</v>
      </c>
      <c r="Q171">
        <v>0</v>
      </c>
      <c r="R171">
        <v>5</v>
      </c>
      <c r="S171">
        <v>593637.14</v>
      </c>
      <c r="T171">
        <v>106648.14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f t="shared" si="12"/>
        <v>0</v>
      </c>
      <c r="F172">
        <f t="shared" si="13"/>
        <v>0</v>
      </c>
      <c r="G172">
        <f t="shared" si="14"/>
        <v>0</v>
      </c>
      <c r="H172">
        <f t="shared" si="17"/>
        <v>1</v>
      </c>
      <c r="I172">
        <f t="shared" si="15"/>
        <v>0</v>
      </c>
      <c r="J172">
        <f t="shared" si="16"/>
        <v>0</v>
      </c>
      <c r="K172">
        <v>0.157</v>
      </c>
      <c r="L172">
        <v>8949</v>
      </c>
      <c r="M172">
        <v>21</v>
      </c>
      <c r="N172">
        <v>84.7</v>
      </c>
      <c r="O172">
        <v>50825.08</v>
      </c>
      <c r="P172">
        <v>7.73</v>
      </c>
      <c r="Q172">
        <v>0</v>
      </c>
      <c r="R172">
        <v>4.9000000000000004</v>
      </c>
      <c r="S172">
        <v>769702.76</v>
      </c>
      <c r="T172">
        <v>158697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f t="shared" si="12"/>
        <v>0</v>
      </c>
      <c r="F173">
        <f t="shared" si="13"/>
        <v>0</v>
      </c>
      <c r="G173">
        <f t="shared" si="14"/>
        <v>0</v>
      </c>
      <c r="H173">
        <f t="shared" si="17"/>
        <v>1</v>
      </c>
      <c r="I173">
        <f t="shared" si="15"/>
        <v>0</v>
      </c>
      <c r="J173">
        <f t="shared" si="16"/>
        <v>0</v>
      </c>
      <c r="K173">
        <v>0.11799999999999999</v>
      </c>
      <c r="L173">
        <v>7671</v>
      </c>
      <c r="M173">
        <v>18</v>
      </c>
      <c r="N173">
        <v>89.8</v>
      </c>
      <c r="O173">
        <v>36606.51</v>
      </c>
      <c r="P173">
        <v>0.25</v>
      </c>
      <c r="Q173">
        <v>0</v>
      </c>
      <c r="R173">
        <v>4.4000000000000004</v>
      </c>
      <c r="S173">
        <v>679731.57</v>
      </c>
      <c r="T173">
        <v>121546.42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f t="shared" si="12"/>
        <v>0</v>
      </c>
      <c r="F174">
        <f t="shared" si="13"/>
        <v>0</v>
      </c>
      <c r="G174">
        <f t="shared" si="14"/>
        <v>0</v>
      </c>
      <c r="H174">
        <f t="shared" si="17"/>
        <v>1</v>
      </c>
      <c r="I174">
        <f t="shared" si="15"/>
        <v>0</v>
      </c>
      <c r="J174">
        <f t="shared" si="16"/>
        <v>0</v>
      </c>
      <c r="K174">
        <v>0.157</v>
      </c>
      <c r="L174">
        <v>8741</v>
      </c>
      <c r="M174">
        <v>20</v>
      </c>
      <c r="N174">
        <v>94.4</v>
      </c>
      <c r="O174">
        <v>65237.79</v>
      </c>
      <c r="P174">
        <v>6.43</v>
      </c>
      <c r="Q174">
        <v>0</v>
      </c>
      <c r="R174">
        <v>3.3</v>
      </c>
      <c r="S174">
        <v>780344.18</v>
      </c>
      <c r="T174">
        <v>118239.09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f t="shared" si="12"/>
        <v>0</v>
      </c>
      <c r="F175">
        <f t="shared" si="13"/>
        <v>0</v>
      </c>
      <c r="G175">
        <f t="shared" si="14"/>
        <v>0</v>
      </c>
      <c r="H175">
        <f t="shared" si="17"/>
        <v>1</v>
      </c>
      <c r="I175">
        <f t="shared" si="15"/>
        <v>0</v>
      </c>
      <c r="J175">
        <f t="shared" si="16"/>
        <v>0</v>
      </c>
      <c r="K175">
        <v>0.109</v>
      </c>
      <c r="L175">
        <v>9480</v>
      </c>
      <c r="M175">
        <v>22</v>
      </c>
      <c r="N175">
        <v>89</v>
      </c>
      <c r="O175">
        <v>43645.98</v>
      </c>
      <c r="P175">
        <v>2.11</v>
      </c>
      <c r="Q175">
        <v>0</v>
      </c>
      <c r="R175">
        <v>3.1</v>
      </c>
      <c r="S175">
        <v>721364.11</v>
      </c>
      <c r="T175">
        <v>147272.81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f t="shared" si="12"/>
        <v>0</v>
      </c>
      <c r="F176">
        <f t="shared" si="13"/>
        <v>0</v>
      </c>
      <c r="G176">
        <f t="shared" si="14"/>
        <v>0</v>
      </c>
      <c r="H176">
        <f t="shared" si="17"/>
        <v>1</v>
      </c>
      <c r="I176">
        <f t="shared" si="15"/>
        <v>0</v>
      </c>
      <c r="J176">
        <f t="shared" si="16"/>
        <v>0</v>
      </c>
      <c r="K176">
        <v>0.125</v>
      </c>
      <c r="L176">
        <v>9826</v>
      </c>
      <c r="M176">
        <v>20</v>
      </c>
      <c r="N176">
        <v>83.9</v>
      </c>
      <c r="O176">
        <v>68040.149999999994</v>
      </c>
      <c r="P176">
        <v>9.1199999999999992</v>
      </c>
      <c r="Q176">
        <v>0</v>
      </c>
      <c r="R176">
        <v>3.6</v>
      </c>
      <c r="S176">
        <v>758138.29</v>
      </c>
      <c r="T176">
        <v>132975.26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f t="shared" si="12"/>
        <v>0</v>
      </c>
      <c r="F177">
        <f t="shared" si="13"/>
        <v>0</v>
      </c>
      <c r="G177">
        <f t="shared" si="14"/>
        <v>1</v>
      </c>
      <c r="H177">
        <f t="shared" si="17"/>
        <v>0</v>
      </c>
      <c r="I177">
        <f t="shared" si="15"/>
        <v>0</v>
      </c>
      <c r="J177">
        <f t="shared" si="16"/>
        <v>0</v>
      </c>
      <c r="K177">
        <v>0.159</v>
      </c>
      <c r="L177">
        <v>10402</v>
      </c>
      <c r="M177">
        <v>23</v>
      </c>
      <c r="N177">
        <v>93.9</v>
      </c>
      <c r="O177">
        <v>63043.94</v>
      </c>
      <c r="P177">
        <v>2.71</v>
      </c>
      <c r="Q177">
        <v>0</v>
      </c>
      <c r="R177">
        <v>3.1</v>
      </c>
      <c r="S177">
        <v>804264</v>
      </c>
      <c r="T177">
        <v>167117.91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f t="shared" si="12"/>
        <v>0</v>
      </c>
      <c r="F178">
        <f t="shared" si="13"/>
        <v>0</v>
      </c>
      <c r="G178">
        <f t="shared" si="14"/>
        <v>1</v>
      </c>
      <c r="H178">
        <f t="shared" si="17"/>
        <v>0</v>
      </c>
      <c r="I178">
        <f t="shared" si="15"/>
        <v>0</v>
      </c>
      <c r="J178">
        <f t="shared" si="16"/>
        <v>0</v>
      </c>
      <c r="K178">
        <v>4.5999999999999999E-2</v>
      </c>
      <c r="L178">
        <v>12361</v>
      </c>
      <c r="M178">
        <v>24</v>
      </c>
      <c r="N178">
        <v>76.599999999999994</v>
      </c>
      <c r="O178">
        <v>67494.09</v>
      </c>
      <c r="P178">
        <v>3.65</v>
      </c>
      <c r="Q178">
        <v>1</v>
      </c>
      <c r="R178">
        <v>3.7</v>
      </c>
      <c r="S178">
        <v>887537.75</v>
      </c>
      <c r="T178">
        <v>160362.92000000001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f t="shared" si="12"/>
        <v>0</v>
      </c>
      <c r="F179">
        <f t="shared" si="13"/>
        <v>0</v>
      </c>
      <c r="G179">
        <f t="shared" si="14"/>
        <v>1</v>
      </c>
      <c r="H179">
        <f t="shared" si="17"/>
        <v>0</v>
      </c>
      <c r="I179">
        <f t="shared" si="15"/>
        <v>0</v>
      </c>
      <c r="J179">
        <f t="shared" si="16"/>
        <v>0</v>
      </c>
      <c r="K179">
        <v>0.17699999999999999</v>
      </c>
      <c r="L179">
        <v>7925</v>
      </c>
      <c r="M179">
        <v>21</v>
      </c>
      <c r="N179">
        <v>90.9</v>
      </c>
      <c r="O179">
        <v>29389.32</v>
      </c>
      <c r="P179">
        <v>7.86</v>
      </c>
      <c r="Q179">
        <v>0</v>
      </c>
      <c r="R179">
        <v>4</v>
      </c>
      <c r="S179">
        <v>783582</v>
      </c>
      <c r="T179">
        <v>130670.93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f t="shared" si="12"/>
        <v>0</v>
      </c>
      <c r="F180">
        <f t="shared" si="13"/>
        <v>0</v>
      </c>
      <c r="G180">
        <f t="shared" si="14"/>
        <v>1</v>
      </c>
      <c r="H180">
        <f t="shared" si="17"/>
        <v>0</v>
      </c>
      <c r="I180">
        <f t="shared" si="15"/>
        <v>0</v>
      </c>
      <c r="J180">
        <f t="shared" si="16"/>
        <v>0</v>
      </c>
      <c r="K180">
        <v>4.1000000000000002E-2</v>
      </c>
      <c r="L180">
        <v>8870</v>
      </c>
      <c r="M180">
        <v>21</v>
      </c>
      <c r="N180">
        <v>86.6</v>
      </c>
      <c r="O180">
        <v>40535.089999999997</v>
      </c>
      <c r="P180">
        <v>0.3</v>
      </c>
      <c r="Q180">
        <v>0</v>
      </c>
      <c r="R180">
        <v>4.0999999999999996</v>
      </c>
      <c r="S180">
        <v>781955.52</v>
      </c>
      <c r="T180">
        <v>152578.71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f t="shared" si="12"/>
        <v>0</v>
      </c>
      <c r="F181">
        <f t="shared" si="13"/>
        <v>0</v>
      </c>
      <c r="G181">
        <f t="shared" si="14"/>
        <v>1</v>
      </c>
      <c r="H181">
        <f t="shared" si="17"/>
        <v>1</v>
      </c>
      <c r="I181">
        <f t="shared" si="15"/>
        <v>0</v>
      </c>
      <c r="J181">
        <f t="shared" si="16"/>
        <v>0</v>
      </c>
      <c r="K181">
        <v>1.2999999999999999E-2</v>
      </c>
      <c r="L181">
        <v>9999</v>
      </c>
      <c r="M181">
        <v>20</v>
      </c>
      <c r="N181">
        <v>89.6</v>
      </c>
      <c r="O181">
        <v>74881.56</v>
      </c>
      <c r="P181">
        <v>8.44</v>
      </c>
      <c r="Q181">
        <v>0</v>
      </c>
      <c r="R181">
        <v>4.0999999999999996</v>
      </c>
      <c r="S181">
        <v>898031.04</v>
      </c>
      <c r="T181">
        <v>138666.5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f t="shared" si="12"/>
        <v>0</v>
      </c>
      <c r="F182">
        <f t="shared" si="13"/>
        <v>0</v>
      </c>
      <c r="G182">
        <f t="shared" si="14"/>
        <v>1</v>
      </c>
      <c r="H182">
        <f t="shared" si="17"/>
        <v>1</v>
      </c>
      <c r="I182">
        <f t="shared" si="15"/>
        <v>0</v>
      </c>
      <c r="J182">
        <f t="shared" si="16"/>
        <v>0</v>
      </c>
      <c r="K182">
        <v>1E-3</v>
      </c>
      <c r="L182">
        <v>11154</v>
      </c>
      <c r="M182">
        <v>24</v>
      </c>
      <c r="N182">
        <v>89.4</v>
      </c>
      <c r="O182">
        <v>68491.11</v>
      </c>
      <c r="P182">
        <v>5.27</v>
      </c>
      <c r="Q182">
        <v>1</v>
      </c>
      <c r="R182">
        <v>3.9</v>
      </c>
      <c r="S182">
        <v>855341.28</v>
      </c>
      <c r="T182">
        <v>175823.8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f t="shared" si="12"/>
        <v>0</v>
      </c>
      <c r="F183">
        <f t="shared" si="13"/>
        <v>0</v>
      </c>
      <c r="G183">
        <f t="shared" si="14"/>
        <v>1</v>
      </c>
      <c r="H183">
        <f t="shared" si="17"/>
        <v>1</v>
      </c>
      <c r="I183">
        <f t="shared" si="15"/>
        <v>0</v>
      </c>
      <c r="J183">
        <f t="shared" si="16"/>
        <v>0</v>
      </c>
      <c r="K183">
        <v>0.14099999999999999</v>
      </c>
      <c r="L183">
        <v>9287</v>
      </c>
      <c r="M183">
        <v>22</v>
      </c>
      <c r="N183">
        <v>86.4</v>
      </c>
      <c r="O183">
        <v>45209.25</v>
      </c>
      <c r="P183">
        <v>13.22</v>
      </c>
      <c r="Q183">
        <v>0</v>
      </c>
      <c r="R183">
        <v>3.6</v>
      </c>
      <c r="S183">
        <v>751393.88</v>
      </c>
      <c r="T183">
        <v>91480.320000000007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f t="shared" si="12"/>
        <v>0</v>
      </c>
      <c r="F184">
        <f t="shared" si="13"/>
        <v>0</v>
      </c>
      <c r="G184">
        <f t="shared" si="14"/>
        <v>1</v>
      </c>
      <c r="H184">
        <f t="shared" si="17"/>
        <v>1</v>
      </c>
      <c r="I184">
        <f t="shared" si="15"/>
        <v>0</v>
      </c>
      <c r="J184">
        <f t="shared" si="16"/>
        <v>0</v>
      </c>
      <c r="K184">
        <v>0.113</v>
      </c>
      <c r="L184">
        <v>9812</v>
      </c>
      <c r="M184">
        <v>24</v>
      </c>
      <c r="N184">
        <v>76.8</v>
      </c>
      <c r="O184">
        <v>63010.23</v>
      </c>
      <c r="P184">
        <v>1.02</v>
      </c>
      <c r="Q184">
        <v>1</v>
      </c>
      <c r="R184">
        <v>3.8</v>
      </c>
      <c r="S184">
        <v>761077.08</v>
      </c>
      <c r="T184">
        <v>113605.93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f t="shared" si="12"/>
        <v>1</v>
      </c>
      <c r="F185">
        <f t="shared" si="13"/>
        <v>0</v>
      </c>
      <c r="G185">
        <f t="shared" si="14"/>
        <v>0</v>
      </c>
      <c r="H185">
        <f t="shared" si="17"/>
        <v>0</v>
      </c>
      <c r="I185">
        <f t="shared" si="15"/>
        <v>0</v>
      </c>
      <c r="J185">
        <f t="shared" si="16"/>
        <v>0</v>
      </c>
      <c r="K185">
        <v>7.0000000000000007E-2</v>
      </c>
      <c r="L185">
        <v>10741</v>
      </c>
      <c r="M185">
        <v>25</v>
      </c>
      <c r="N185">
        <v>90.1</v>
      </c>
      <c r="O185">
        <v>57948.88</v>
      </c>
      <c r="P185">
        <v>4.03</v>
      </c>
      <c r="Q185">
        <v>0</v>
      </c>
      <c r="R185">
        <v>3.1</v>
      </c>
      <c r="S185">
        <v>819660.59</v>
      </c>
      <c r="T185">
        <v>172699.95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f t="shared" si="12"/>
        <v>1</v>
      </c>
      <c r="F186">
        <f t="shared" si="13"/>
        <v>0</v>
      </c>
      <c r="G186">
        <f t="shared" si="14"/>
        <v>0</v>
      </c>
      <c r="H186">
        <f t="shared" si="17"/>
        <v>0</v>
      </c>
      <c r="I186">
        <f t="shared" si="15"/>
        <v>1</v>
      </c>
      <c r="J186">
        <f t="shared" si="16"/>
        <v>0</v>
      </c>
      <c r="K186">
        <v>7.1999999999999995E-2</v>
      </c>
      <c r="L186">
        <v>6084</v>
      </c>
      <c r="M186">
        <v>13</v>
      </c>
      <c r="N186">
        <v>93.7</v>
      </c>
      <c r="O186">
        <v>71941.62</v>
      </c>
      <c r="P186">
        <v>2.34</v>
      </c>
      <c r="Q186">
        <v>0</v>
      </c>
      <c r="R186">
        <v>4.4000000000000004</v>
      </c>
      <c r="S186">
        <v>681855.56</v>
      </c>
      <c r="T186">
        <v>117645.61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f t="shared" si="12"/>
        <v>1</v>
      </c>
      <c r="F187">
        <f t="shared" si="13"/>
        <v>0</v>
      </c>
      <c r="G187">
        <f t="shared" si="14"/>
        <v>0</v>
      </c>
      <c r="H187">
        <f t="shared" si="17"/>
        <v>0</v>
      </c>
      <c r="I187">
        <f t="shared" si="15"/>
        <v>1</v>
      </c>
      <c r="J187">
        <f t="shared" si="16"/>
        <v>0</v>
      </c>
      <c r="K187">
        <v>0.161</v>
      </c>
      <c r="L187">
        <v>5252</v>
      </c>
      <c r="M187">
        <v>15</v>
      </c>
      <c r="N187">
        <v>95.5</v>
      </c>
      <c r="O187">
        <v>57147.88</v>
      </c>
      <c r="P187">
        <v>8.51</v>
      </c>
      <c r="Q187">
        <v>0</v>
      </c>
      <c r="R187">
        <v>4.4000000000000004</v>
      </c>
      <c r="S187">
        <v>678311.17</v>
      </c>
      <c r="T187">
        <v>132029.76000000001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f t="shared" si="12"/>
        <v>1</v>
      </c>
      <c r="F188">
        <f t="shared" si="13"/>
        <v>0</v>
      </c>
      <c r="G188">
        <f t="shared" si="14"/>
        <v>0</v>
      </c>
      <c r="H188">
        <f t="shared" si="17"/>
        <v>0</v>
      </c>
      <c r="I188">
        <f t="shared" si="15"/>
        <v>1</v>
      </c>
      <c r="J188">
        <f t="shared" si="16"/>
        <v>0</v>
      </c>
      <c r="K188">
        <v>6.7000000000000004E-2</v>
      </c>
      <c r="L188">
        <v>6516</v>
      </c>
      <c r="M188">
        <v>14</v>
      </c>
      <c r="N188">
        <v>99</v>
      </c>
      <c r="O188">
        <v>48031.74</v>
      </c>
      <c r="P188">
        <v>0.48</v>
      </c>
      <c r="Q188">
        <v>1</v>
      </c>
      <c r="R188">
        <v>4.3</v>
      </c>
      <c r="S188">
        <v>765906.95</v>
      </c>
      <c r="T188">
        <v>114005.9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f t="shared" si="12"/>
        <v>0</v>
      </c>
      <c r="F189">
        <f t="shared" si="13"/>
        <v>0</v>
      </c>
      <c r="G189">
        <f t="shared" si="14"/>
        <v>0</v>
      </c>
      <c r="H189">
        <f t="shared" si="17"/>
        <v>0</v>
      </c>
      <c r="I189">
        <f t="shared" si="15"/>
        <v>1</v>
      </c>
      <c r="J189">
        <f t="shared" si="16"/>
        <v>0</v>
      </c>
      <c r="K189">
        <v>9.4E-2</v>
      </c>
      <c r="L189">
        <v>7932</v>
      </c>
      <c r="M189">
        <v>20</v>
      </c>
      <c r="N189">
        <v>74.900000000000006</v>
      </c>
      <c r="O189">
        <v>72784.800000000003</v>
      </c>
      <c r="P189">
        <v>13.62</v>
      </c>
      <c r="Q189">
        <v>0</v>
      </c>
      <c r="R189">
        <v>4.2</v>
      </c>
      <c r="S189">
        <v>712546.38</v>
      </c>
      <c r="T189">
        <v>101480.04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f t="shared" si="12"/>
        <v>0</v>
      </c>
      <c r="F190">
        <f t="shared" si="13"/>
        <v>0</v>
      </c>
      <c r="G190">
        <f t="shared" si="14"/>
        <v>0</v>
      </c>
      <c r="H190">
        <f t="shared" si="17"/>
        <v>0</v>
      </c>
      <c r="I190">
        <f t="shared" si="15"/>
        <v>1</v>
      </c>
      <c r="J190">
        <f t="shared" si="16"/>
        <v>0</v>
      </c>
      <c r="K190">
        <v>0</v>
      </c>
      <c r="L190">
        <v>3506</v>
      </c>
      <c r="M190">
        <v>11</v>
      </c>
      <c r="N190">
        <v>86.4</v>
      </c>
      <c r="O190">
        <v>71641.899999999994</v>
      </c>
      <c r="P190">
        <v>7.77</v>
      </c>
      <c r="Q190">
        <v>0</v>
      </c>
      <c r="R190">
        <v>4.0999999999999996</v>
      </c>
      <c r="S190">
        <v>625993.82999999996</v>
      </c>
      <c r="T190">
        <v>98960.320000000007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f t="shared" si="12"/>
        <v>0</v>
      </c>
      <c r="F191">
        <f t="shared" si="13"/>
        <v>0</v>
      </c>
      <c r="G191">
        <f t="shared" si="14"/>
        <v>0</v>
      </c>
      <c r="H191">
        <f t="shared" si="17"/>
        <v>0</v>
      </c>
      <c r="I191">
        <f t="shared" si="15"/>
        <v>1</v>
      </c>
      <c r="J191">
        <f t="shared" si="16"/>
        <v>0</v>
      </c>
      <c r="K191">
        <v>5.8000000000000003E-2</v>
      </c>
      <c r="L191">
        <v>2312</v>
      </c>
      <c r="M191">
        <v>10</v>
      </c>
      <c r="N191">
        <v>91.3</v>
      </c>
      <c r="O191">
        <v>55788.61</v>
      </c>
      <c r="P191">
        <v>1.99</v>
      </c>
      <c r="Q191">
        <v>0</v>
      </c>
      <c r="R191">
        <v>3.8</v>
      </c>
      <c r="S191">
        <v>550962.93000000005</v>
      </c>
      <c r="T191">
        <v>97144.58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f t="shared" si="12"/>
        <v>0</v>
      </c>
      <c r="F192">
        <f t="shared" si="13"/>
        <v>0</v>
      </c>
      <c r="G192">
        <f t="shared" si="14"/>
        <v>0</v>
      </c>
      <c r="H192">
        <f t="shared" si="17"/>
        <v>0</v>
      </c>
      <c r="I192">
        <f t="shared" si="15"/>
        <v>1</v>
      </c>
      <c r="J192">
        <f t="shared" si="16"/>
        <v>0</v>
      </c>
      <c r="K192">
        <v>0.25900000000000001</v>
      </c>
      <c r="L192">
        <v>1268</v>
      </c>
      <c r="M192">
        <v>9</v>
      </c>
      <c r="N192">
        <v>84.1</v>
      </c>
      <c r="O192">
        <v>37705.879999999997</v>
      </c>
      <c r="P192">
        <v>4.7699999999999996</v>
      </c>
      <c r="Q192">
        <v>0</v>
      </c>
      <c r="R192">
        <v>3.8</v>
      </c>
      <c r="S192">
        <v>443275.59</v>
      </c>
      <c r="T192">
        <v>53544.36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f t="shared" si="12"/>
        <v>0</v>
      </c>
      <c r="F193">
        <f t="shared" si="13"/>
        <v>0</v>
      </c>
      <c r="G193">
        <f t="shared" si="14"/>
        <v>1</v>
      </c>
      <c r="H193">
        <f t="shared" si="17"/>
        <v>1</v>
      </c>
      <c r="I193">
        <f t="shared" si="15"/>
        <v>1</v>
      </c>
      <c r="J193">
        <f t="shared" si="16"/>
        <v>0</v>
      </c>
      <c r="K193">
        <v>0.186</v>
      </c>
      <c r="L193">
        <v>4423</v>
      </c>
      <c r="M193">
        <v>13</v>
      </c>
      <c r="N193">
        <v>88.7</v>
      </c>
      <c r="O193">
        <v>54966.18</v>
      </c>
      <c r="P193">
        <v>0.2</v>
      </c>
      <c r="Q193">
        <v>0</v>
      </c>
      <c r="R193">
        <v>4.4000000000000004</v>
      </c>
      <c r="S193">
        <v>554012.06999999995</v>
      </c>
      <c r="T193">
        <v>81101.62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f t="shared" ref="E194:E257" si="18">IF(C195="North",1,0)</f>
        <v>0</v>
      </c>
      <c r="F194">
        <f t="shared" ref="F194:F257" si="19">IF(C195="South",1,0)</f>
        <v>0</v>
      </c>
      <c r="G194">
        <f t="shared" ref="G194:G257" si="20">IF(C195="West",1,0)</f>
        <v>1</v>
      </c>
      <c r="H194">
        <f t="shared" si="17"/>
        <v>1</v>
      </c>
      <c r="I194">
        <f t="shared" ref="I194:I257" si="21">IF(D194="High Street",1,0)</f>
        <v>0</v>
      </c>
      <c r="J194">
        <f t="shared" ref="J194:J257" si="22">IF(D195="Mall",1,0)</f>
        <v>0</v>
      </c>
      <c r="K194">
        <v>0.16400000000000001</v>
      </c>
      <c r="L194">
        <v>6177</v>
      </c>
      <c r="M194">
        <v>14</v>
      </c>
      <c r="N194">
        <v>87.9</v>
      </c>
      <c r="O194">
        <v>81796.740000000005</v>
      </c>
      <c r="P194">
        <v>0.53</v>
      </c>
      <c r="Q194">
        <v>0</v>
      </c>
      <c r="R194">
        <v>3.2</v>
      </c>
      <c r="S194">
        <v>643428.85</v>
      </c>
      <c r="T194">
        <v>94477.63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f t="shared" si="18"/>
        <v>0</v>
      </c>
      <c r="F195">
        <f t="shared" si="19"/>
        <v>0</v>
      </c>
      <c r="G195">
        <f t="shared" si="20"/>
        <v>1</v>
      </c>
      <c r="H195">
        <f t="shared" ref="H195:H258" si="23">IF(D196="Residential",1,0)</f>
        <v>1</v>
      </c>
      <c r="I195">
        <f t="shared" si="21"/>
        <v>0</v>
      </c>
      <c r="J195">
        <f t="shared" si="22"/>
        <v>0</v>
      </c>
      <c r="K195">
        <v>0.15</v>
      </c>
      <c r="L195">
        <v>5150</v>
      </c>
      <c r="M195">
        <v>12</v>
      </c>
      <c r="N195">
        <v>88.5</v>
      </c>
      <c r="O195">
        <v>51133.43</v>
      </c>
      <c r="P195">
        <v>1.54</v>
      </c>
      <c r="Q195">
        <v>0</v>
      </c>
      <c r="R195">
        <v>3.2</v>
      </c>
      <c r="S195">
        <v>611924.27</v>
      </c>
      <c r="T195">
        <v>115488.75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f t="shared" si="18"/>
        <v>0</v>
      </c>
      <c r="F196">
        <f t="shared" si="19"/>
        <v>0</v>
      </c>
      <c r="G196">
        <f t="shared" si="20"/>
        <v>1</v>
      </c>
      <c r="H196">
        <f t="shared" si="23"/>
        <v>1</v>
      </c>
      <c r="I196">
        <f t="shared" si="21"/>
        <v>0</v>
      </c>
      <c r="J196">
        <f t="shared" si="22"/>
        <v>0</v>
      </c>
      <c r="K196">
        <v>8.8999999999999996E-2</v>
      </c>
      <c r="L196">
        <v>3783</v>
      </c>
      <c r="M196">
        <v>14</v>
      </c>
      <c r="N196">
        <v>86.6</v>
      </c>
      <c r="O196">
        <v>40220.18</v>
      </c>
      <c r="P196">
        <v>3.63</v>
      </c>
      <c r="Q196">
        <v>0</v>
      </c>
      <c r="R196">
        <v>3.7</v>
      </c>
      <c r="S196">
        <v>559422.02</v>
      </c>
      <c r="T196">
        <v>73528.740000000005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f t="shared" si="18"/>
        <v>1</v>
      </c>
      <c r="F197">
        <f t="shared" si="19"/>
        <v>0</v>
      </c>
      <c r="G197">
        <f t="shared" si="20"/>
        <v>0</v>
      </c>
      <c r="H197">
        <f t="shared" si="23"/>
        <v>1</v>
      </c>
      <c r="I197">
        <f t="shared" si="21"/>
        <v>0</v>
      </c>
      <c r="J197">
        <f t="shared" si="22"/>
        <v>0</v>
      </c>
      <c r="K197">
        <v>0.22900000000000001</v>
      </c>
      <c r="L197">
        <v>3135</v>
      </c>
      <c r="M197">
        <v>7</v>
      </c>
      <c r="N197">
        <v>85.4</v>
      </c>
      <c r="O197">
        <v>41657.64</v>
      </c>
      <c r="P197">
        <v>13.48</v>
      </c>
      <c r="Q197">
        <v>0</v>
      </c>
      <c r="R197">
        <v>4</v>
      </c>
      <c r="S197">
        <v>449465.06</v>
      </c>
      <c r="T197">
        <v>65694.78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f t="shared" si="18"/>
        <v>1</v>
      </c>
      <c r="F198">
        <f t="shared" si="19"/>
        <v>0</v>
      </c>
      <c r="G198">
        <f t="shared" si="20"/>
        <v>0</v>
      </c>
      <c r="H198">
        <f t="shared" si="23"/>
        <v>1</v>
      </c>
      <c r="I198">
        <f t="shared" si="21"/>
        <v>0</v>
      </c>
      <c r="J198">
        <f t="shared" si="22"/>
        <v>0</v>
      </c>
      <c r="K198">
        <v>9.8000000000000004E-2</v>
      </c>
      <c r="L198">
        <v>4970</v>
      </c>
      <c r="M198">
        <v>11</v>
      </c>
      <c r="N198">
        <v>89.6</v>
      </c>
      <c r="O198">
        <v>71851.45</v>
      </c>
      <c r="P198">
        <v>0.2</v>
      </c>
      <c r="Q198">
        <v>0</v>
      </c>
      <c r="R198">
        <v>4.2</v>
      </c>
      <c r="S198">
        <v>691447.43</v>
      </c>
      <c r="T198">
        <v>114077.69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f t="shared" si="18"/>
        <v>1</v>
      </c>
      <c r="F199">
        <f t="shared" si="19"/>
        <v>0</v>
      </c>
      <c r="G199">
        <f t="shared" si="20"/>
        <v>0</v>
      </c>
      <c r="H199">
        <f t="shared" si="23"/>
        <v>1</v>
      </c>
      <c r="I199">
        <f t="shared" si="21"/>
        <v>0</v>
      </c>
      <c r="J199">
        <f t="shared" si="22"/>
        <v>0</v>
      </c>
      <c r="K199">
        <v>2.7E-2</v>
      </c>
      <c r="L199">
        <v>4366</v>
      </c>
      <c r="M199">
        <v>15</v>
      </c>
      <c r="N199">
        <v>90.6</v>
      </c>
      <c r="O199">
        <v>54002.83</v>
      </c>
      <c r="P199">
        <v>12.82</v>
      </c>
      <c r="Q199">
        <v>0</v>
      </c>
      <c r="R199">
        <v>4.5999999999999996</v>
      </c>
      <c r="S199">
        <v>574066.61</v>
      </c>
      <c r="T199">
        <v>124674.67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f t="shared" si="18"/>
        <v>1</v>
      </c>
      <c r="F200">
        <f t="shared" si="19"/>
        <v>0</v>
      </c>
      <c r="G200">
        <f t="shared" si="20"/>
        <v>0</v>
      </c>
      <c r="H200">
        <f t="shared" si="23"/>
        <v>1</v>
      </c>
      <c r="I200">
        <f t="shared" si="21"/>
        <v>0</v>
      </c>
      <c r="J200">
        <f t="shared" si="22"/>
        <v>0</v>
      </c>
      <c r="K200">
        <v>0.28399999999999997</v>
      </c>
      <c r="L200">
        <v>5012</v>
      </c>
      <c r="M200">
        <v>13</v>
      </c>
      <c r="N200">
        <v>86</v>
      </c>
      <c r="O200">
        <v>54479.33</v>
      </c>
      <c r="P200">
        <v>2.2400000000000002</v>
      </c>
      <c r="Q200">
        <v>1</v>
      </c>
      <c r="R200">
        <v>4.3</v>
      </c>
      <c r="S200">
        <v>578949.84</v>
      </c>
      <c r="T200">
        <v>80253.649999999994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f t="shared" si="18"/>
        <v>0</v>
      </c>
      <c r="F201">
        <f t="shared" si="19"/>
        <v>0</v>
      </c>
      <c r="G201">
        <f t="shared" si="20"/>
        <v>0</v>
      </c>
      <c r="H201">
        <f t="shared" si="23"/>
        <v>0</v>
      </c>
      <c r="I201">
        <f t="shared" si="21"/>
        <v>0</v>
      </c>
      <c r="J201">
        <f t="shared" si="22"/>
        <v>0</v>
      </c>
      <c r="K201">
        <v>0.189</v>
      </c>
      <c r="L201">
        <v>5575</v>
      </c>
      <c r="M201">
        <v>18</v>
      </c>
      <c r="N201">
        <v>90</v>
      </c>
      <c r="O201">
        <v>61391.8</v>
      </c>
      <c r="P201">
        <v>1.8</v>
      </c>
      <c r="Q201">
        <v>0</v>
      </c>
      <c r="R201">
        <v>4.8</v>
      </c>
      <c r="S201">
        <v>735786.64</v>
      </c>
      <c r="T201">
        <v>126540.66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f t="shared" si="18"/>
        <v>0</v>
      </c>
      <c r="F202">
        <f t="shared" si="19"/>
        <v>0</v>
      </c>
      <c r="G202">
        <f t="shared" si="20"/>
        <v>0</v>
      </c>
      <c r="H202">
        <f t="shared" si="23"/>
        <v>0</v>
      </c>
      <c r="I202">
        <f t="shared" si="21"/>
        <v>0</v>
      </c>
      <c r="J202">
        <f t="shared" si="22"/>
        <v>0</v>
      </c>
      <c r="K202">
        <v>0.123</v>
      </c>
      <c r="L202">
        <v>5955</v>
      </c>
      <c r="M202">
        <v>13</v>
      </c>
      <c r="N202">
        <v>84.2</v>
      </c>
      <c r="O202">
        <v>22312.93</v>
      </c>
      <c r="P202">
        <v>0.41</v>
      </c>
      <c r="Q202">
        <v>1</v>
      </c>
      <c r="R202">
        <v>4.5999999999999996</v>
      </c>
      <c r="S202">
        <v>598904.9</v>
      </c>
      <c r="T202">
        <v>72861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f t="shared" si="18"/>
        <v>0</v>
      </c>
      <c r="F203">
        <f t="shared" si="19"/>
        <v>0</v>
      </c>
      <c r="G203">
        <f t="shared" si="20"/>
        <v>0</v>
      </c>
      <c r="H203">
        <f t="shared" si="23"/>
        <v>0</v>
      </c>
      <c r="I203">
        <f t="shared" si="21"/>
        <v>0</v>
      </c>
      <c r="J203">
        <f t="shared" si="22"/>
        <v>0</v>
      </c>
      <c r="K203">
        <v>0.15</v>
      </c>
      <c r="L203">
        <v>6389</v>
      </c>
      <c r="M203">
        <v>13</v>
      </c>
      <c r="N203">
        <v>83.9</v>
      </c>
      <c r="O203">
        <v>78111.97</v>
      </c>
      <c r="P203">
        <v>3.05</v>
      </c>
      <c r="Q203">
        <v>0</v>
      </c>
      <c r="R203">
        <v>4.8</v>
      </c>
      <c r="S203">
        <v>787715.51</v>
      </c>
      <c r="T203">
        <v>128969.62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f t="shared" si="18"/>
        <v>0</v>
      </c>
      <c r="F204">
        <f t="shared" si="19"/>
        <v>0</v>
      </c>
      <c r="G204">
        <f t="shared" si="20"/>
        <v>0</v>
      </c>
      <c r="H204">
        <f t="shared" si="23"/>
        <v>0</v>
      </c>
      <c r="I204">
        <f t="shared" si="21"/>
        <v>0</v>
      </c>
      <c r="J204">
        <f t="shared" si="22"/>
        <v>0</v>
      </c>
      <c r="K204">
        <v>3.2000000000000001E-2</v>
      </c>
      <c r="L204">
        <v>6896</v>
      </c>
      <c r="M204">
        <v>14</v>
      </c>
      <c r="N204">
        <v>80.8</v>
      </c>
      <c r="O204">
        <v>35203.230000000003</v>
      </c>
      <c r="P204">
        <v>8.44</v>
      </c>
      <c r="Q204">
        <v>1</v>
      </c>
      <c r="R204">
        <v>5</v>
      </c>
      <c r="S204">
        <v>607084.92000000004</v>
      </c>
      <c r="T204">
        <v>98558.49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f t="shared" si="18"/>
        <v>0</v>
      </c>
      <c r="F205">
        <f t="shared" si="19"/>
        <v>0</v>
      </c>
      <c r="G205">
        <f t="shared" si="20"/>
        <v>0</v>
      </c>
      <c r="H205">
        <f t="shared" si="23"/>
        <v>0</v>
      </c>
      <c r="I205">
        <f t="shared" si="21"/>
        <v>0</v>
      </c>
      <c r="J205">
        <f t="shared" si="22"/>
        <v>1</v>
      </c>
      <c r="K205">
        <v>0.127</v>
      </c>
      <c r="L205">
        <v>6015</v>
      </c>
      <c r="M205">
        <v>15</v>
      </c>
      <c r="N205">
        <v>88.7</v>
      </c>
      <c r="O205">
        <v>64104.28</v>
      </c>
      <c r="P205">
        <v>0.78</v>
      </c>
      <c r="Q205">
        <v>0</v>
      </c>
      <c r="R205">
        <v>4</v>
      </c>
      <c r="S205">
        <v>650795.49</v>
      </c>
      <c r="T205">
        <v>103035.89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f t="shared" si="18"/>
        <v>0</v>
      </c>
      <c r="F206">
        <f t="shared" si="19"/>
        <v>0</v>
      </c>
      <c r="G206">
        <f t="shared" si="20"/>
        <v>0</v>
      </c>
      <c r="H206">
        <f t="shared" si="23"/>
        <v>0</v>
      </c>
      <c r="I206">
        <f t="shared" si="21"/>
        <v>0</v>
      </c>
      <c r="J206">
        <f t="shared" si="22"/>
        <v>1</v>
      </c>
      <c r="K206">
        <v>7.0000000000000007E-2</v>
      </c>
      <c r="L206">
        <v>9476</v>
      </c>
      <c r="M206">
        <v>24</v>
      </c>
      <c r="N206">
        <v>94.3</v>
      </c>
      <c r="O206">
        <v>92090.14</v>
      </c>
      <c r="P206">
        <v>0.87</v>
      </c>
      <c r="Q206">
        <v>0</v>
      </c>
      <c r="R206">
        <v>3.7</v>
      </c>
      <c r="S206">
        <v>825060.52</v>
      </c>
      <c r="T206">
        <v>143613.15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f t="shared" si="18"/>
        <v>0</v>
      </c>
      <c r="F207">
        <f t="shared" si="19"/>
        <v>0</v>
      </c>
      <c r="G207">
        <f t="shared" si="20"/>
        <v>0</v>
      </c>
      <c r="H207">
        <f t="shared" si="23"/>
        <v>0</v>
      </c>
      <c r="I207">
        <f t="shared" si="21"/>
        <v>0</v>
      </c>
      <c r="J207">
        <f t="shared" si="22"/>
        <v>1</v>
      </c>
      <c r="K207">
        <v>0.107</v>
      </c>
      <c r="L207">
        <v>7875</v>
      </c>
      <c r="M207">
        <v>19</v>
      </c>
      <c r="N207">
        <v>94.1</v>
      </c>
      <c r="O207">
        <v>54300.87</v>
      </c>
      <c r="P207">
        <v>0.95</v>
      </c>
      <c r="Q207">
        <v>0</v>
      </c>
      <c r="R207">
        <v>3.7</v>
      </c>
      <c r="S207">
        <v>795464.47</v>
      </c>
      <c r="T207">
        <v>161150.51999999999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f t="shared" si="18"/>
        <v>0</v>
      </c>
      <c r="F208">
        <f t="shared" si="19"/>
        <v>0</v>
      </c>
      <c r="G208">
        <f t="shared" si="20"/>
        <v>0</v>
      </c>
      <c r="H208">
        <f t="shared" si="23"/>
        <v>0</v>
      </c>
      <c r="I208">
        <f t="shared" si="21"/>
        <v>0</v>
      </c>
      <c r="J208">
        <f t="shared" si="22"/>
        <v>1</v>
      </c>
      <c r="K208">
        <v>0.14899999999999999</v>
      </c>
      <c r="L208">
        <v>9283</v>
      </c>
      <c r="M208">
        <v>19</v>
      </c>
      <c r="N208">
        <v>83.2</v>
      </c>
      <c r="O208">
        <v>37983.35</v>
      </c>
      <c r="P208">
        <v>3.82</v>
      </c>
      <c r="Q208">
        <v>0</v>
      </c>
      <c r="R208">
        <v>3.7</v>
      </c>
      <c r="S208">
        <v>671868.59</v>
      </c>
      <c r="T208">
        <v>71003.28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f t="shared" si="18"/>
        <v>0</v>
      </c>
      <c r="F209">
        <f t="shared" si="19"/>
        <v>0</v>
      </c>
      <c r="G209">
        <f t="shared" si="20"/>
        <v>0</v>
      </c>
      <c r="H209">
        <f t="shared" si="23"/>
        <v>0</v>
      </c>
      <c r="I209">
        <f t="shared" si="21"/>
        <v>0</v>
      </c>
      <c r="J209">
        <f t="shared" si="22"/>
        <v>0</v>
      </c>
      <c r="K209">
        <v>0.11600000000000001</v>
      </c>
      <c r="L209">
        <v>8303</v>
      </c>
      <c r="M209">
        <v>18</v>
      </c>
      <c r="N209">
        <v>93.6</v>
      </c>
      <c r="O209">
        <v>56413.83</v>
      </c>
      <c r="P209">
        <v>2.7</v>
      </c>
      <c r="Q209">
        <v>0</v>
      </c>
      <c r="R209">
        <v>3.7</v>
      </c>
      <c r="S209">
        <v>675917.63</v>
      </c>
      <c r="T209">
        <v>112564.75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f t="shared" si="18"/>
        <v>0</v>
      </c>
      <c r="F210">
        <f t="shared" si="19"/>
        <v>0</v>
      </c>
      <c r="G210">
        <f t="shared" si="20"/>
        <v>0</v>
      </c>
      <c r="H210">
        <f t="shared" si="23"/>
        <v>0</v>
      </c>
      <c r="I210">
        <f t="shared" si="21"/>
        <v>1</v>
      </c>
      <c r="J210">
        <f t="shared" si="22"/>
        <v>0</v>
      </c>
      <c r="K210">
        <v>9.7000000000000003E-2</v>
      </c>
      <c r="L210">
        <v>10125</v>
      </c>
      <c r="M210">
        <v>24</v>
      </c>
      <c r="N210">
        <v>87</v>
      </c>
      <c r="O210">
        <v>63457.19</v>
      </c>
      <c r="P210">
        <v>3.84</v>
      </c>
      <c r="Q210">
        <v>1</v>
      </c>
      <c r="R210">
        <v>3.7</v>
      </c>
      <c r="S210">
        <v>810446.53</v>
      </c>
      <c r="T210">
        <v>200575.34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f t="shared" si="18"/>
        <v>0</v>
      </c>
      <c r="F211">
        <f t="shared" si="19"/>
        <v>0</v>
      </c>
      <c r="G211">
        <f t="shared" si="20"/>
        <v>0</v>
      </c>
      <c r="H211">
        <f t="shared" si="23"/>
        <v>0</v>
      </c>
      <c r="I211">
        <f t="shared" si="21"/>
        <v>1</v>
      </c>
      <c r="J211">
        <f t="shared" si="22"/>
        <v>0</v>
      </c>
      <c r="K211">
        <v>0.17100000000000001</v>
      </c>
      <c r="L211">
        <v>9458</v>
      </c>
      <c r="M211">
        <v>19</v>
      </c>
      <c r="N211">
        <v>84.9</v>
      </c>
      <c r="O211">
        <v>62949.7</v>
      </c>
      <c r="P211">
        <v>5.09</v>
      </c>
      <c r="Q211">
        <v>0</v>
      </c>
      <c r="R211">
        <v>3.3</v>
      </c>
      <c r="S211">
        <v>691288.19</v>
      </c>
      <c r="T211">
        <v>159074.14000000001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f t="shared" si="18"/>
        <v>0</v>
      </c>
      <c r="F212">
        <f t="shared" si="19"/>
        <v>0</v>
      </c>
      <c r="G212">
        <f t="shared" si="20"/>
        <v>0</v>
      </c>
      <c r="H212">
        <f t="shared" si="23"/>
        <v>0</v>
      </c>
      <c r="I212">
        <f t="shared" si="21"/>
        <v>1</v>
      </c>
      <c r="J212">
        <f t="shared" si="22"/>
        <v>0</v>
      </c>
      <c r="K212">
        <v>2.9000000000000001E-2</v>
      </c>
      <c r="L212">
        <v>12870</v>
      </c>
      <c r="M212">
        <v>31</v>
      </c>
      <c r="N212">
        <v>91.7</v>
      </c>
      <c r="O212">
        <v>107970.19</v>
      </c>
      <c r="P212">
        <v>3.82</v>
      </c>
      <c r="Q212">
        <v>1</v>
      </c>
      <c r="R212">
        <v>3.7</v>
      </c>
      <c r="S212">
        <v>946833.54</v>
      </c>
      <c r="T212">
        <v>184540.31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f t="shared" si="18"/>
        <v>0</v>
      </c>
      <c r="F213">
        <f t="shared" si="19"/>
        <v>0</v>
      </c>
      <c r="G213">
        <f t="shared" si="20"/>
        <v>1</v>
      </c>
      <c r="H213">
        <f t="shared" si="23"/>
        <v>1</v>
      </c>
      <c r="I213">
        <f t="shared" si="21"/>
        <v>1</v>
      </c>
      <c r="J213">
        <f t="shared" si="22"/>
        <v>0</v>
      </c>
      <c r="K213">
        <v>9.2999999999999999E-2</v>
      </c>
      <c r="L213">
        <v>9752</v>
      </c>
      <c r="M213">
        <v>21</v>
      </c>
      <c r="N213">
        <v>87</v>
      </c>
      <c r="O213">
        <v>49405.75</v>
      </c>
      <c r="P213">
        <v>12.28</v>
      </c>
      <c r="Q213">
        <v>0</v>
      </c>
      <c r="R213">
        <v>4.0999999999999996</v>
      </c>
      <c r="S213">
        <v>761963.23</v>
      </c>
      <c r="T213">
        <v>150113.60999999999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f t="shared" si="18"/>
        <v>0</v>
      </c>
      <c r="F214">
        <f t="shared" si="19"/>
        <v>0</v>
      </c>
      <c r="G214">
        <f t="shared" si="20"/>
        <v>1</v>
      </c>
      <c r="H214">
        <f t="shared" si="23"/>
        <v>1</v>
      </c>
      <c r="I214">
        <f t="shared" si="21"/>
        <v>0</v>
      </c>
      <c r="J214">
        <f t="shared" si="22"/>
        <v>0</v>
      </c>
      <c r="K214">
        <v>9.0999999999999998E-2</v>
      </c>
      <c r="L214">
        <v>9505</v>
      </c>
      <c r="M214">
        <v>25</v>
      </c>
      <c r="N214">
        <v>89.7</v>
      </c>
      <c r="O214">
        <v>50887.46</v>
      </c>
      <c r="P214">
        <v>2.8</v>
      </c>
      <c r="Q214">
        <v>0</v>
      </c>
      <c r="R214">
        <v>4.3</v>
      </c>
      <c r="S214">
        <v>812152.6</v>
      </c>
      <c r="T214">
        <v>138419.43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f t="shared" si="18"/>
        <v>0</v>
      </c>
      <c r="F215">
        <f t="shared" si="19"/>
        <v>0</v>
      </c>
      <c r="G215">
        <f t="shared" si="20"/>
        <v>1</v>
      </c>
      <c r="H215">
        <f t="shared" si="23"/>
        <v>1</v>
      </c>
      <c r="I215">
        <f t="shared" si="21"/>
        <v>0</v>
      </c>
      <c r="J215">
        <f t="shared" si="22"/>
        <v>0</v>
      </c>
      <c r="K215">
        <v>0.15</v>
      </c>
      <c r="L215">
        <v>9412</v>
      </c>
      <c r="M215">
        <v>22</v>
      </c>
      <c r="N215">
        <v>91</v>
      </c>
      <c r="O215">
        <v>41819.449999999997</v>
      </c>
      <c r="P215">
        <v>3.67</v>
      </c>
      <c r="Q215">
        <v>0</v>
      </c>
      <c r="R215">
        <v>4.2</v>
      </c>
      <c r="S215">
        <v>804975.5</v>
      </c>
      <c r="T215">
        <v>140054.5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f t="shared" si="18"/>
        <v>0</v>
      </c>
      <c r="F216">
        <f t="shared" si="19"/>
        <v>0</v>
      </c>
      <c r="G216">
        <f t="shared" si="20"/>
        <v>1</v>
      </c>
      <c r="H216">
        <f t="shared" si="23"/>
        <v>1</v>
      </c>
      <c r="I216">
        <f t="shared" si="21"/>
        <v>0</v>
      </c>
      <c r="J216">
        <f t="shared" si="22"/>
        <v>0</v>
      </c>
      <c r="K216">
        <v>0</v>
      </c>
      <c r="L216">
        <v>9644</v>
      </c>
      <c r="M216">
        <v>22</v>
      </c>
      <c r="N216">
        <v>88</v>
      </c>
      <c r="O216">
        <v>35296.54</v>
      </c>
      <c r="P216">
        <v>2.81</v>
      </c>
      <c r="Q216">
        <v>0</v>
      </c>
      <c r="R216">
        <v>4.7</v>
      </c>
      <c r="S216">
        <v>752321.72</v>
      </c>
      <c r="T216">
        <v>137788.51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f t="shared" si="18"/>
        <v>1</v>
      </c>
      <c r="F217">
        <f t="shared" si="19"/>
        <v>0</v>
      </c>
      <c r="G217">
        <f t="shared" si="20"/>
        <v>0</v>
      </c>
      <c r="H217">
        <f t="shared" si="23"/>
        <v>0</v>
      </c>
      <c r="I217">
        <f t="shared" si="21"/>
        <v>0</v>
      </c>
      <c r="J217">
        <f t="shared" si="22"/>
        <v>0</v>
      </c>
      <c r="K217">
        <v>0.14699999999999999</v>
      </c>
      <c r="L217">
        <v>11224</v>
      </c>
      <c r="M217">
        <v>25</v>
      </c>
      <c r="N217">
        <v>88.4</v>
      </c>
      <c r="O217">
        <v>47391.09</v>
      </c>
      <c r="P217">
        <v>2.44</v>
      </c>
      <c r="Q217">
        <v>0</v>
      </c>
      <c r="R217">
        <v>4.9000000000000004</v>
      </c>
      <c r="S217">
        <v>836908.24</v>
      </c>
      <c r="T217">
        <v>141090.26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f t="shared" si="18"/>
        <v>1</v>
      </c>
      <c r="F218">
        <f t="shared" si="19"/>
        <v>0</v>
      </c>
      <c r="G218">
        <f t="shared" si="20"/>
        <v>0</v>
      </c>
      <c r="H218">
        <f t="shared" si="23"/>
        <v>0</v>
      </c>
      <c r="I218">
        <f t="shared" si="21"/>
        <v>0</v>
      </c>
      <c r="J218">
        <f t="shared" si="22"/>
        <v>0</v>
      </c>
      <c r="K218">
        <v>0.126</v>
      </c>
      <c r="L218">
        <v>5394</v>
      </c>
      <c r="M218">
        <v>12</v>
      </c>
      <c r="N218">
        <v>82.9</v>
      </c>
      <c r="O218">
        <v>69180.539999999994</v>
      </c>
      <c r="P218">
        <v>3.27</v>
      </c>
      <c r="Q218">
        <v>0</v>
      </c>
      <c r="R218">
        <v>3.3</v>
      </c>
      <c r="S218">
        <v>674289.1</v>
      </c>
      <c r="T218">
        <v>117773.79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f t="shared" si="18"/>
        <v>1</v>
      </c>
      <c r="F219">
        <f t="shared" si="19"/>
        <v>0</v>
      </c>
      <c r="G219">
        <f t="shared" si="20"/>
        <v>0</v>
      </c>
      <c r="H219">
        <f t="shared" si="23"/>
        <v>0</v>
      </c>
      <c r="I219">
        <f t="shared" si="21"/>
        <v>0</v>
      </c>
      <c r="J219">
        <f t="shared" si="22"/>
        <v>0</v>
      </c>
      <c r="K219">
        <v>0.246</v>
      </c>
      <c r="L219">
        <v>5014</v>
      </c>
      <c r="M219">
        <v>17</v>
      </c>
      <c r="N219">
        <v>94.3</v>
      </c>
      <c r="O219">
        <v>33987.33</v>
      </c>
      <c r="P219">
        <v>10.34</v>
      </c>
      <c r="Q219">
        <v>0</v>
      </c>
      <c r="R219">
        <v>3.9</v>
      </c>
      <c r="S219">
        <v>622892.42000000004</v>
      </c>
      <c r="T219">
        <v>101032.52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f t="shared" si="18"/>
        <v>1</v>
      </c>
      <c r="F220">
        <f t="shared" si="19"/>
        <v>0</v>
      </c>
      <c r="G220">
        <f t="shared" si="20"/>
        <v>0</v>
      </c>
      <c r="H220">
        <f t="shared" si="23"/>
        <v>0</v>
      </c>
      <c r="I220">
        <f t="shared" si="21"/>
        <v>0</v>
      </c>
      <c r="J220">
        <f t="shared" si="22"/>
        <v>0</v>
      </c>
      <c r="K220">
        <v>0.22900000000000001</v>
      </c>
      <c r="L220">
        <v>4467</v>
      </c>
      <c r="M220">
        <v>14</v>
      </c>
      <c r="N220">
        <v>90.7</v>
      </c>
      <c r="O220">
        <v>58785.33</v>
      </c>
      <c r="P220">
        <v>1.92</v>
      </c>
      <c r="Q220">
        <v>0</v>
      </c>
      <c r="R220">
        <v>3.7</v>
      </c>
      <c r="S220">
        <v>673348.56</v>
      </c>
      <c r="T220">
        <v>69464.59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f t="shared" si="18"/>
        <v>0</v>
      </c>
      <c r="F221">
        <f t="shared" si="19"/>
        <v>0</v>
      </c>
      <c r="G221">
        <f t="shared" si="20"/>
        <v>0</v>
      </c>
      <c r="H221">
        <f t="shared" si="23"/>
        <v>0</v>
      </c>
      <c r="I221">
        <f t="shared" si="21"/>
        <v>0</v>
      </c>
      <c r="J221">
        <f t="shared" si="22"/>
        <v>0</v>
      </c>
      <c r="K221">
        <v>0.13300000000000001</v>
      </c>
      <c r="L221">
        <v>4678</v>
      </c>
      <c r="M221">
        <v>11</v>
      </c>
      <c r="N221">
        <v>95.9</v>
      </c>
      <c r="O221">
        <v>16451.849999999999</v>
      </c>
      <c r="P221">
        <v>3.1</v>
      </c>
      <c r="Q221">
        <v>0</v>
      </c>
      <c r="R221">
        <v>3.9</v>
      </c>
      <c r="S221">
        <v>606278.30000000005</v>
      </c>
      <c r="T221">
        <v>102213.26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f t="shared" si="18"/>
        <v>0</v>
      </c>
      <c r="F222">
        <f t="shared" si="19"/>
        <v>0</v>
      </c>
      <c r="G222">
        <f t="shared" si="20"/>
        <v>0</v>
      </c>
      <c r="H222">
        <f t="shared" si="23"/>
        <v>0</v>
      </c>
      <c r="I222">
        <f t="shared" si="21"/>
        <v>1</v>
      </c>
      <c r="J222">
        <f t="shared" si="22"/>
        <v>0</v>
      </c>
      <c r="K222">
        <v>0.14599999999999999</v>
      </c>
      <c r="L222">
        <v>7291</v>
      </c>
      <c r="M222">
        <v>18</v>
      </c>
      <c r="N222">
        <v>90.6</v>
      </c>
      <c r="O222">
        <v>53367.73</v>
      </c>
      <c r="P222">
        <v>6.34</v>
      </c>
      <c r="Q222">
        <v>1</v>
      </c>
      <c r="R222">
        <v>3.8</v>
      </c>
      <c r="S222">
        <v>712219.81</v>
      </c>
      <c r="T222">
        <v>85906.54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f t="shared" si="18"/>
        <v>0</v>
      </c>
      <c r="F223">
        <f t="shared" si="19"/>
        <v>0</v>
      </c>
      <c r="G223">
        <f t="shared" si="20"/>
        <v>0</v>
      </c>
      <c r="H223">
        <f t="shared" si="23"/>
        <v>0</v>
      </c>
      <c r="I223">
        <f t="shared" si="21"/>
        <v>1</v>
      </c>
      <c r="J223">
        <f t="shared" si="22"/>
        <v>0</v>
      </c>
      <c r="K223">
        <v>8.7999999999999995E-2</v>
      </c>
      <c r="L223">
        <v>7404</v>
      </c>
      <c r="M223">
        <v>18</v>
      </c>
      <c r="N223">
        <v>90.2</v>
      </c>
      <c r="O223">
        <v>27194.639999999999</v>
      </c>
      <c r="P223">
        <v>1.2</v>
      </c>
      <c r="Q223">
        <v>0</v>
      </c>
      <c r="R223">
        <v>3.4</v>
      </c>
      <c r="S223">
        <v>672670.54</v>
      </c>
      <c r="T223">
        <v>132684.18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f t="shared" si="18"/>
        <v>0</v>
      </c>
      <c r="F224">
        <f t="shared" si="19"/>
        <v>0</v>
      </c>
      <c r="G224">
        <f t="shared" si="20"/>
        <v>0</v>
      </c>
      <c r="H224">
        <f t="shared" si="23"/>
        <v>0</v>
      </c>
      <c r="I224">
        <f t="shared" si="21"/>
        <v>1</v>
      </c>
      <c r="J224">
        <f t="shared" si="22"/>
        <v>0</v>
      </c>
      <c r="K224">
        <v>0.11600000000000001</v>
      </c>
      <c r="L224">
        <v>7880</v>
      </c>
      <c r="M224">
        <v>19</v>
      </c>
      <c r="N224">
        <v>90.4</v>
      </c>
      <c r="O224">
        <v>66962.740000000005</v>
      </c>
      <c r="P224">
        <v>4.5</v>
      </c>
      <c r="Q224">
        <v>0</v>
      </c>
      <c r="R224">
        <v>3.3</v>
      </c>
      <c r="S224">
        <v>732667.92</v>
      </c>
      <c r="T224">
        <v>128654.46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f t="shared" si="18"/>
        <v>0</v>
      </c>
      <c r="F225">
        <f t="shared" si="19"/>
        <v>0</v>
      </c>
      <c r="G225">
        <f t="shared" si="20"/>
        <v>0</v>
      </c>
      <c r="H225">
        <f t="shared" si="23"/>
        <v>0</v>
      </c>
      <c r="I225">
        <f t="shared" si="21"/>
        <v>1</v>
      </c>
      <c r="J225">
        <f t="shared" si="22"/>
        <v>1</v>
      </c>
      <c r="K225">
        <v>3.5000000000000003E-2</v>
      </c>
      <c r="L225">
        <v>8773</v>
      </c>
      <c r="M225">
        <v>21</v>
      </c>
      <c r="N225">
        <v>84.4</v>
      </c>
      <c r="O225">
        <v>73540.990000000005</v>
      </c>
      <c r="P225">
        <v>6.68</v>
      </c>
      <c r="Q225">
        <v>0</v>
      </c>
      <c r="R225">
        <v>3.6</v>
      </c>
      <c r="S225">
        <v>723531.4</v>
      </c>
      <c r="T225">
        <v>108794.85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f t="shared" si="18"/>
        <v>0</v>
      </c>
      <c r="F226">
        <f t="shared" si="19"/>
        <v>0</v>
      </c>
      <c r="G226">
        <f t="shared" si="20"/>
        <v>0</v>
      </c>
      <c r="H226">
        <f t="shared" si="23"/>
        <v>0</v>
      </c>
      <c r="I226">
        <f t="shared" si="21"/>
        <v>0</v>
      </c>
      <c r="J226">
        <f t="shared" si="22"/>
        <v>1</v>
      </c>
      <c r="K226">
        <v>0.19800000000000001</v>
      </c>
      <c r="L226">
        <v>4713</v>
      </c>
      <c r="M226">
        <v>15</v>
      </c>
      <c r="N226">
        <v>82.6</v>
      </c>
      <c r="O226">
        <v>68212.289999999994</v>
      </c>
      <c r="P226">
        <v>4.07</v>
      </c>
      <c r="Q226">
        <v>1</v>
      </c>
      <c r="R226">
        <v>3</v>
      </c>
      <c r="S226">
        <v>641564.6</v>
      </c>
      <c r="T226">
        <v>90468.96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f t="shared" si="18"/>
        <v>0</v>
      </c>
      <c r="F227">
        <f t="shared" si="19"/>
        <v>0</v>
      </c>
      <c r="G227">
        <f t="shared" si="20"/>
        <v>0</v>
      </c>
      <c r="H227">
        <f t="shared" si="23"/>
        <v>0</v>
      </c>
      <c r="I227">
        <f t="shared" si="21"/>
        <v>0</v>
      </c>
      <c r="J227">
        <f t="shared" si="22"/>
        <v>1</v>
      </c>
      <c r="K227">
        <v>0.112</v>
      </c>
      <c r="L227">
        <v>2842</v>
      </c>
      <c r="M227">
        <v>10</v>
      </c>
      <c r="N227">
        <v>79.5</v>
      </c>
      <c r="O227">
        <v>57225.98</v>
      </c>
      <c r="P227">
        <v>5.45</v>
      </c>
      <c r="Q227">
        <v>0</v>
      </c>
      <c r="R227">
        <v>3.4</v>
      </c>
      <c r="S227">
        <v>536545.49</v>
      </c>
      <c r="T227">
        <v>97917.45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f t="shared" si="18"/>
        <v>0</v>
      </c>
      <c r="F228">
        <f t="shared" si="19"/>
        <v>0</v>
      </c>
      <c r="G228">
        <f t="shared" si="20"/>
        <v>0</v>
      </c>
      <c r="H228">
        <f t="shared" si="23"/>
        <v>0</v>
      </c>
      <c r="I228">
        <f t="shared" si="21"/>
        <v>0</v>
      </c>
      <c r="J228">
        <f t="shared" si="22"/>
        <v>1</v>
      </c>
      <c r="K228">
        <v>0.17100000000000001</v>
      </c>
      <c r="L228">
        <v>3872</v>
      </c>
      <c r="M228">
        <v>12</v>
      </c>
      <c r="N228">
        <v>83.2</v>
      </c>
      <c r="O228">
        <v>42932.02</v>
      </c>
      <c r="P228">
        <v>15.58</v>
      </c>
      <c r="Q228">
        <v>0</v>
      </c>
      <c r="R228">
        <v>3.3</v>
      </c>
      <c r="S228">
        <v>527681.56000000006</v>
      </c>
      <c r="T228">
        <v>63153.05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f t="shared" si="18"/>
        <v>0</v>
      </c>
      <c r="F229">
        <f t="shared" si="19"/>
        <v>0</v>
      </c>
      <c r="G229">
        <f t="shared" si="20"/>
        <v>0</v>
      </c>
      <c r="H229">
        <f t="shared" si="23"/>
        <v>0</v>
      </c>
      <c r="I229">
        <f t="shared" si="21"/>
        <v>0</v>
      </c>
      <c r="J229">
        <f t="shared" si="22"/>
        <v>0</v>
      </c>
      <c r="K229">
        <v>9.2999999999999999E-2</v>
      </c>
      <c r="L229">
        <v>1375</v>
      </c>
      <c r="M229">
        <v>5</v>
      </c>
      <c r="N229">
        <v>95</v>
      </c>
      <c r="O229">
        <v>39341.449999999997</v>
      </c>
      <c r="P229">
        <v>5.32</v>
      </c>
      <c r="Q229">
        <v>0</v>
      </c>
      <c r="R229">
        <v>4</v>
      </c>
      <c r="S229">
        <v>529598.93999999994</v>
      </c>
      <c r="T229">
        <v>84334.33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f t="shared" si="18"/>
        <v>0</v>
      </c>
      <c r="F230">
        <f t="shared" si="19"/>
        <v>0</v>
      </c>
      <c r="G230">
        <f t="shared" si="20"/>
        <v>0</v>
      </c>
      <c r="H230">
        <f t="shared" si="23"/>
        <v>0</v>
      </c>
      <c r="I230">
        <f t="shared" si="21"/>
        <v>1</v>
      </c>
      <c r="J230">
        <f t="shared" si="22"/>
        <v>0</v>
      </c>
      <c r="K230">
        <v>7.0999999999999994E-2</v>
      </c>
      <c r="L230">
        <v>5957</v>
      </c>
      <c r="M230">
        <v>12</v>
      </c>
      <c r="N230">
        <v>85.9</v>
      </c>
      <c r="O230">
        <v>37324.230000000003</v>
      </c>
      <c r="P230">
        <v>0.37</v>
      </c>
      <c r="Q230">
        <v>0</v>
      </c>
      <c r="R230">
        <v>3.8</v>
      </c>
      <c r="S230">
        <v>570963.31000000006</v>
      </c>
      <c r="T230">
        <v>87342.25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f t="shared" si="18"/>
        <v>0</v>
      </c>
      <c r="F231">
        <f t="shared" si="19"/>
        <v>0</v>
      </c>
      <c r="G231">
        <f t="shared" si="20"/>
        <v>0</v>
      </c>
      <c r="H231">
        <f t="shared" si="23"/>
        <v>0</v>
      </c>
      <c r="I231">
        <f t="shared" si="21"/>
        <v>1</v>
      </c>
      <c r="J231">
        <f t="shared" si="22"/>
        <v>0</v>
      </c>
      <c r="K231">
        <v>0.20200000000000001</v>
      </c>
      <c r="L231">
        <v>8961</v>
      </c>
      <c r="M231">
        <v>24</v>
      </c>
      <c r="N231">
        <v>86.2</v>
      </c>
      <c r="O231">
        <v>113736</v>
      </c>
      <c r="P231">
        <v>21.63</v>
      </c>
      <c r="Q231">
        <v>0</v>
      </c>
      <c r="R231">
        <v>4</v>
      </c>
      <c r="S231">
        <v>870937.4</v>
      </c>
      <c r="T231">
        <v>175282.74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f t="shared" si="18"/>
        <v>0</v>
      </c>
      <c r="F232">
        <f t="shared" si="19"/>
        <v>0</v>
      </c>
      <c r="G232">
        <f t="shared" si="20"/>
        <v>0</v>
      </c>
      <c r="H232">
        <f t="shared" si="23"/>
        <v>0</v>
      </c>
      <c r="I232">
        <f t="shared" si="21"/>
        <v>1</v>
      </c>
      <c r="J232">
        <f t="shared" si="22"/>
        <v>0</v>
      </c>
      <c r="K232">
        <v>0.16900000000000001</v>
      </c>
      <c r="L232">
        <v>6545</v>
      </c>
      <c r="M232">
        <v>15</v>
      </c>
      <c r="N232">
        <v>84.4</v>
      </c>
      <c r="O232">
        <v>33173.949999999997</v>
      </c>
      <c r="P232">
        <v>2.48</v>
      </c>
      <c r="Q232">
        <v>0</v>
      </c>
      <c r="R232">
        <v>3.9</v>
      </c>
      <c r="S232">
        <v>596969.27</v>
      </c>
      <c r="T232">
        <v>105669.51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f t="shared" si="18"/>
        <v>0</v>
      </c>
      <c r="F233">
        <f t="shared" si="19"/>
        <v>0</v>
      </c>
      <c r="G233">
        <f t="shared" si="20"/>
        <v>1</v>
      </c>
      <c r="H233">
        <f t="shared" si="23"/>
        <v>1</v>
      </c>
      <c r="I233">
        <f t="shared" si="21"/>
        <v>1</v>
      </c>
      <c r="J233">
        <f t="shared" si="22"/>
        <v>0</v>
      </c>
      <c r="K233">
        <v>0</v>
      </c>
      <c r="L233">
        <v>5457</v>
      </c>
      <c r="M233">
        <v>11</v>
      </c>
      <c r="N233">
        <v>95.4</v>
      </c>
      <c r="O233">
        <v>25818.080000000002</v>
      </c>
      <c r="P233">
        <v>6</v>
      </c>
      <c r="Q233">
        <v>0</v>
      </c>
      <c r="R233">
        <v>3.7</v>
      </c>
      <c r="S233">
        <v>647512.85</v>
      </c>
      <c r="T233">
        <v>153835.57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f t="shared" si="18"/>
        <v>0</v>
      </c>
      <c r="F234">
        <f t="shared" si="19"/>
        <v>0</v>
      </c>
      <c r="G234">
        <f t="shared" si="20"/>
        <v>1</v>
      </c>
      <c r="H234">
        <f t="shared" si="23"/>
        <v>1</v>
      </c>
      <c r="I234">
        <f t="shared" si="21"/>
        <v>0</v>
      </c>
      <c r="J234">
        <f t="shared" si="22"/>
        <v>0</v>
      </c>
      <c r="K234">
        <v>6.9000000000000006E-2</v>
      </c>
      <c r="L234">
        <v>4264</v>
      </c>
      <c r="M234">
        <v>13</v>
      </c>
      <c r="N234">
        <v>95.3</v>
      </c>
      <c r="O234">
        <v>47241.919999999998</v>
      </c>
      <c r="P234">
        <v>0.85</v>
      </c>
      <c r="Q234">
        <v>0</v>
      </c>
      <c r="R234">
        <v>4.3</v>
      </c>
      <c r="S234">
        <v>658072.14</v>
      </c>
      <c r="T234">
        <v>110595.89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f t="shared" si="18"/>
        <v>0</v>
      </c>
      <c r="F235">
        <f t="shared" si="19"/>
        <v>0</v>
      </c>
      <c r="G235">
        <f t="shared" si="20"/>
        <v>1</v>
      </c>
      <c r="H235">
        <f t="shared" si="23"/>
        <v>1</v>
      </c>
      <c r="I235">
        <f t="shared" si="21"/>
        <v>0</v>
      </c>
      <c r="J235">
        <f t="shared" si="22"/>
        <v>0</v>
      </c>
      <c r="K235">
        <v>0.126</v>
      </c>
      <c r="L235">
        <v>5321</v>
      </c>
      <c r="M235">
        <v>17</v>
      </c>
      <c r="N235">
        <v>89.2</v>
      </c>
      <c r="O235">
        <v>61650.79</v>
      </c>
      <c r="P235">
        <v>2.13</v>
      </c>
      <c r="Q235">
        <v>0</v>
      </c>
      <c r="R235">
        <v>4</v>
      </c>
      <c r="S235">
        <v>723305.11</v>
      </c>
      <c r="T235">
        <v>128468.7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f t="shared" si="18"/>
        <v>0</v>
      </c>
      <c r="F236">
        <f t="shared" si="19"/>
        <v>0</v>
      </c>
      <c r="G236">
        <f t="shared" si="20"/>
        <v>1</v>
      </c>
      <c r="H236">
        <f t="shared" si="23"/>
        <v>1</v>
      </c>
      <c r="I236">
        <f t="shared" si="21"/>
        <v>0</v>
      </c>
      <c r="J236">
        <f t="shared" si="22"/>
        <v>0</v>
      </c>
      <c r="K236">
        <v>4.8000000000000001E-2</v>
      </c>
      <c r="L236">
        <v>5479</v>
      </c>
      <c r="M236">
        <v>16</v>
      </c>
      <c r="N236">
        <v>81.2</v>
      </c>
      <c r="O236">
        <v>62582.71</v>
      </c>
      <c r="P236">
        <v>1.46</v>
      </c>
      <c r="Q236">
        <v>0</v>
      </c>
      <c r="R236">
        <v>4.5</v>
      </c>
      <c r="S236">
        <v>640666.53</v>
      </c>
      <c r="T236">
        <v>134919.16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f t="shared" si="18"/>
        <v>0</v>
      </c>
      <c r="F237">
        <f t="shared" si="19"/>
        <v>0</v>
      </c>
      <c r="G237">
        <f t="shared" si="20"/>
        <v>1</v>
      </c>
      <c r="H237">
        <f t="shared" si="23"/>
        <v>0</v>
      </c>
      <c r="I237">
        <f t="shared" si="21"/>
        <v>0</v>
      </c>
      <c r="J237">
        <f t="shared" si="22"/>
        <v>1</v>
      </c>
      <c r="K237">
        <v>0.11899999999999999</v>
      </c>
      <c r="L237">
        <v>6169</v>
      </c>
      <c r="M237">
        <v>17</v>
      </c>
      <c r="N237">
        <v>92.2</v>
      </c>
      <c r="O237">
        <v>47944.14</v>
      </c>
      <c r="P237">
        <v>3.02</v>
      </c>
      <c r="Q237">
        <v>0</v>
      </c>
      <c r="R237">
        <v>4.0999999999999996</v>
      </c>
      <c r="S237">
        <v>670629.48</v>
      </c>
      <c r="T237">
        <v>100140.8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f t="shared" si="18"/>
        <v>0</v>
      </c>
      <c r="F238">
        <f t="shared" si="19"/>
        <v>0</v>
      </c>
      <c r="G238">
        <f t="shared" si="20"/>
        <v>1</v>
      </c>
      <c r="H238">
        <f t="shared" si="23"/>
        <v>0</v>
      </c>
      <c r="I238">
        <f t="shared" si="21"/>
        <v>0</v>
      </c>
      <c r="J238">
        <f t="shared" si="22"/>
        <v>1</v>
      </c>
      <c r="K238">
        <v>0.121</v>
      </c>
      <c r="L238">
        <v>9908</v>
      </c>
      <c r="M238">
        <v>22</v>
      </c>
      <c r="N238">
        <v>89.4</v>
      </c>
      <c r="O238">
        <v>46495.4</v>
      </c>
      <c r="P238">
        <v>3.22</v>
      </c>
      <c r="Q238">
        <v>0</v>
      </c>
      <c r="R238">
        <v>3.7</v>
      </c>
      <c r="S238">
        <v>721079.35</v>
      </c>
      <c r="T238">
        <v>115295.05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f t="shared" si="18"/>
        <v>0</v>
      </c>
      <c r="F239">
        <f t="shared" si="19"/>
        <v>0</v>
      </c>
      <c r="G239">
        <f t="shared" si="20"/>
        <v>1</v>
      </c>
      <c r="H239">
        <f t="shared" si="23"/>
        <v>0</v>
      </c>
      <c r="I239">
        <f t="shared" si="21"/>
        <v>0</v>
      </c>
      <c r="J239">
        <f t="shared" si="22"/>
        <v>1</v>
      </c>
      <c r="K239">
        <v>0.106</v>
      </c>
      <c r="L239">
        <v>9996</v>
      </c>
      <c r="M239">
        <v>22</v>
      </c>
      <c r="N239">
        <v>89.1</v>
      </c>
      <c r="O239">
        <v>72961.95</v>
      </c>
      <c r="P239">
        <v>15.66</v>
      </c>
      <c r="Q239">
        <v>0</v>
      </c>
      <c r="R239">
        <v>3.4</v>
      </c>
      <c r="S239">
        <v>810355.02</v>
      </c>
      <c r="T239">
        <v>131510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f t="shared" si="18"/>
        <v>0</v>
      </c>
      <c r="F240">
        <f t="shared" si="19"/>
        <v>0</v>
      </c>
      <c r="G240">
        <f t="shared" si="20"/>
        <v>1</v>
      </c>
      <c r="H240">
        <f t="shared" si="23"/>
        <v>0</v>
      </c>
      <c r="I240">
        <f t="shared" si="21"/>
        <v>0</v>
      </c>
      <c r="J240">
        <f t="shared" si="22"/>
        <v>1</v>
      </c>
      <c r="K240">
        <v>0.20100000000000001</v>
      </c>
      <c r="L240">
        <v>9702</v>
      </c>
      <c r="M240">
        <v>23</v>
      </c>
      <c r="N240">
        <v>80.900000000000006</v>
      </c>
      <c r="O240">
        <v>59060.05</v>
      </c>
      <c r="P240">
        <v>6.96</v>
      </c>
      <c r="Q240">
        <v>0</v>
      </c>
      <c r="R240">
        <v>3.2</v>
      </c>
      <c r="S240">
        <v>761919.25</v>
      </c>
      <c r="T240">
        <v>111893.06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f t="shared" si="18"/>
        <v>0</v>
      </c>
      <c r="F241">
        <f t="shared" si="19"/>
        <v>1</v>
      </c>
      <c r="G241">
        <f t="shared" si="20"/>
        <v>0</v>
      </c>
      <c r="H241">
        <f t="shared" si="23"/>
        <v>0</v>
      </c>
      <c r="I241">
        <f t="shared" si="21"/>
        <v>0</v>
      </c>
      <c r="J241">
        <f t="shared" si="22"/>
        <v>0</v>
      </c>
      <c r="K241">
        <v>0.186</v>
      </c>
      <c r="L241">
        <v>9314</v>
      </c>
      <c r="M241">
        <v>21</v>
      </c>
      <c r="N241">
        <v>83.7</v>
      </c>
      <c r="O241">
        <v>26248.1</v>
      </c>
      <c r="P241">
        <v>4.62</v>
      </c>
      <c r="Q241">
        <v>0</v>
      </c>
      <c r="R241">
        <v>3.3</v>
      </c>
      <c r="S241">
        <v>737070.18</v>
      </c>
      <c r="T241">
        <v>117593.97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f t="shared" si="18"/>
        <v>0</v>
      </c>
      <c r="F242">
        <f t="shared" si="19"/>
        <v>1</v>
      </c>
      <c r="G242">
        <f t="shared" si="20"/>
        <v>0</v>
      </c>
      <c r="H242">
        <f t="shared" si="23"/>
        <v>0</v>
      </c>
      <c r="I242">
        <f t="shared" si="21"/>
        <v>0</v>
      </c>
      <c r="J242">
        <f t="shared" si="22"/>
        <v>0</v>
      </c>
      <c r="K242">
        <v>0.28100000000000003</v>
      </c>
      <c r="L242">
        <v>8055</v>
      </c>
      <c r="M242">
        <v>22</v>
      </c>
      <c r="N242">
        <v>85.6</v>
      </c>
      <c r="O242">
        <v>69900.12</v>
      </c>
      <c r="P242">
        <v>10.68</v>
      </c>
      <c r="Q242">
        <v>1</v>
      </c>
      <c r="R242">
        <v>2.9</v>
      </c>
      <c r="S242">
        <v>776992.93</v>
      </c>
      <c r="T242">
        <v>101598.32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f t="shared" si="18"/>
        <v>0</v>
      </c>
      <c r="F243">
        <f t="shared" si="19"/>
        <v>1</v>
      </c>
      <c r="G243">
        <f t="shared" si="20"/>
        <v>0</v>
      </c>
      <c r="H243">
        <f t="shared" si="23"/>
        <v>0</v>
      </c>
      <c r="I243">
        <f t="shared" si="21"/>
        <v>0</v>
      </c>
      <c r="J243">
        <f t="shared" si="22"/>
        <v>0</v>
      </c>
      <c r="K243">
        <v>5.8999999999999997E-2</v>
      </c>
      <c r="L243">
        <v>5648</v>
      </c>
      <c r="M243">
        <v>13</v>
      </c>
      <c r="N243">
        <v>85.5</v>
      </c>
      <c r="O243">
        <v>51781.599999999999</v>
      </c>
      <c r="P243">
        <v>4.04</v>
      </c>
      <c r="Q243">
        <v>0</v>
      </c>
      <c r="R243">
        <v>3.7</v>
      </c>
      <c r="S243">
        <v>676337.41</v>
      </c>
      <c r="T243">
        <v>104355.77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f t="shared" si="18"/>
        <v>0</v>
      </c>
      <c r="F244">
        <f t="shared" si="19"/>
        <v>1</v>
      </c>
      <c r="G244">
        <f t="shared" si="20"/>
        <v>0</v>
      </c>
      <c r="H244">
        <f t="shared" si="23"/>
        <v>0</v>
      </c>
      <c r="I244">
        <f t="shared" si="21"/>
        <v>0</v>
      </c>
      <c r="J244">
        <f t="shared" si="22"/>
        <v>0</v>
      </c>
      <c r="K244">
        <v>0.152</v>
      </c>
      <c r="L244">
        <v>10076</v>
      </c>
      <c r="M244">
        <v>24</v>
      </c>
      <c r="N244">
        <v>84.8</v>
      </c>
      <c r="O244">
        <v>70799.64</v>
      </c>
      <c r="P244">
        <v>1.87</v>
      </c>
      <c r="Q244">
        <v>0</v>
      </c>
      <c r="R244">
        <v>3.5</v>
      </c>
      <c r="S244">
        <v>828219.67</v>
      </c>
      <c r="T244">
        <v>179806.87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f t="shared" si="18"/>
        <v>0</v>
      </c>
      <c r="F245">
        <f t="shared" si="19"/>
        <v>0</v>
      </c>
      <c r="G245">
        <f t="shared" si="20"/>
        <v>0</v>
      </c>
      <c r="H245">
        <f t="shared" si="23"/>
        <v>0</v>
      </c>
      <c r="I245">
        <f t="shared" si="21"/>
        <v>0</v>
      </c>
      <c r="J245">
        <f t="shared" si="22"/>
        <v>0</v>
      </c>
      <c r="K245">
        <v>0</v>
      </c>
      <c r="L245">
        <v>8004</v>
      </c>
      <c r="M245">
        <v>21</v>
      </c>
      <c r="N245">
        <v>95.2</v>
      </c>
      <c r="O245">
        <v>53546.34</v>
      </c>
      <c r="P245">
        <v>2.83</v>
      </c>
      <c r="Q245">
        <v>0</v>
      </c>
      <c r="R245">
        <v>3</v>
      </c>
      <c r="S245">
        <v>763159.92</v>
      </c>
      <c r="T245">
        <v>177104.87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f t="shared" si="18"/>
        <v>0</v>
      </c>
      <c r="F246">
        <f t="shared" si="19"/>
        <v>0</v>
      </c>
      <c r="G246">
        <f t="shared" si="20"/>
        <v>0</v>
      </c>
      <c r="H246">
        <f t="shared" si="23"/>
        <v>0</v>
      </c>
      <c r="I246">
        <f t="shared" si="21"/>
        <v>1</v>
      </c>
      <c r="J246">
        <f t="shared" si="22"/>
        <v>0</v>
      </c>
      <c r="K246">
        <v>8.4000000000000005E-2</v>
      </c>
      <c r="L246">
        <v>8934</v>
      </c>
      <c r="M246">
        <v>20</v>
      </c>
      <c r="N246">
        <v>91</v>
      </c>
      <c r="O246">
        <v>76942.2</v>
      </c>
      <c r="P246">
        <v>0.95</v>
      </c>
      <c r="Q246">
        <v>0</v>
      </c>
      <c r="R246">
        <v>3.2</v>
      </c>
      <c r="S246">
        <v>802001.68</v>
      </c>
      <c r="T246">
        <v>159715.82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f t="shared" si="18"/>
        <v>0</v>
      </c>
      <c r="F247">
        <f t="shared" si="19"/>
        <v>0</v>
      </c>
      <c r="G247">
        <f t="shared" si="20"/>
        <v>0</v>
      </c>
      <c r="H247">
        <f t="shared" si="23"/>
        <v>0</v>
      </c>
      <c r="I247">
        <f t="shared" si="21"/>
        <v>1</v>
      </c>
      <c r="J247">
        <f t="shared" si="22"/>
        <v>0</v>
      </c>
      <c r="K247">
        <v>0</v>
      </c>
      <c r="L247">
        <v>8733</v>
      </c>
      <c r="M247">
        <v>20</v>
      </c>
      <c r="N247">
        <v>89.9</v>
      </c>
      <c r="O247">
        <v>48060.78</v>
      </c>
      <c r="P247">
        <v>0.8</v>
      </c>
      <c r="Q247">
        <v>0</v>
      </c>
      <c r="R247">
        <v>3.4</v>
      </c>
      <c r="S247">
        <v>750471.34</v>
      </c>
      <c r="T247">
        <v>133788.04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f t="shared" si="18"/>
        <v>0</v>
      </c>
      <c r="F248">
        <f t="shared" si="19"/>
        <v>0</v>
      </c>
      <c r="G248">
        <f t="shared" si="20"/>
        <v>0</v>
      </c>
      <c r="H248">
        <f t="shared" si="23"/>
        <v>0</v>
      </c>
      <c r="I248">
        <f t="shared" si="21"/>
        <v>1</v>
      </c>
      <c r="J248">
        <f t="shared" si="22"/>
        <v>0</v>
      </c>
      <c r="K248">
        <v>0.21</v>
      </c>
      <c r="L248">
        <v>7374</v>
      </c>
      <c r="M248">
        <v>21</v>
      </c>
      <c r="N248">
        <v>91.8</v>
      </c>
      <c r="O248">
        <v>57390.04</v>
      </c>
      <c r="P248">
        <v>0.2</v>
      </c>
      <c r="Q248">
        <v>0</v>
      </c>
      <c r="R248">
        <v>3.1</v>
      </c>
      <c r="S248">
        <v>679230.86</v>
      </c>
      <c r="T248">
        <v>106927.58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f t="shared" si="18"/>
        <v>1</v>
      </c>
      <c r="F249">
        <f t="shared" si="19"/>
        <v>0</v>
      </c>
      <c r="G249">
        <f t="shared" si="20"/>
        <v>0</v>
      </c>
      <c r="H249">
        <f t="shared" si="23"/>
        <v>0</v>
      </c>
      <c r="I249">
        <f t="shared" si="21"/>
        <v>1</v>
      </c>
      <c r="J249">
        <f t="shared" si="22"/>
        <v>0</v>
      </c>
      <c r="K249">
        <v>0.22700000000000001</v>
      </c>
      <c r="L249">
        <v>8119</v>
      </c>
      <c r="M249">
        <v>20</v>
      </c>
      <c r="N249">
        <v>90.4</v>
      </c>
      <c r="O249">
        <v>21536.18</v>
      </c>
      <c r="P249">
        <v>1.7</v>
      </c>
      <c r="Q249">
        <v>0</v>
      </c>
      <c r="R249">
        <v>3.3</v>
      </c>
      <c r="S249">
        <v>679888.74</v>
      </c>
      <c r="T249">
        <v>83406.89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f t="shared" si="18"/>
        <v>1</v>
      </c>
      <c r="F250">
        <f t="shared" si="19"/>
        <v>0</v>
      </c>
      <c r="G250">
        <f t="shared" si="20"/>
        <v>0</v>
      </c>
      <c r="H250">
        <f t="shared" si="23"/>
        <v>0</v>
      </c>
      <c r="I250">
        <f t="shared" si="21"/>
        <v>1</v>
      </c>
      <c r="J250">
        <f t="shared" si="22"/>
        <v>0</v>
      </c>
      <c r="K250">
        <v>0.15</v>
      </c>
      <c r="L250">
        <v>3875</v>
      </c>
      <c r="M250">
        <v>10</v>
      </c>
      <c r="N250">
        <v>96.1</v>
      </c>
      <c r="O250">
        <v>40923.67</v>
      </c>
      <c r="P250">
        <v>6</v>
      </c>
      <c r="Q250">
        <v>0</v>
      </c>
      <c r="R250">
        <v>3.8</v>
      </c>
      <c r="S250">
        <v>606783.67000000004</v>
      </c>
      <c r="T250">
        <v>74515.87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f t="shared" si="18"/>
        <v>1</v>
      </c>
      <c r="F251">
        <f t="shared" si="19"/>
        <v>0</v>
      </c>
      <c r="G251">
        <f t="shared" si="20"/>
        <v>0</v>
      </c>
      <c r="H251">
        <f t="shared" si="23"/>
        <v>0</v>
      </c>
      <c r="I251">
        <f t="shared" si="21"/>
        <v>1</v>
      </c>
      <c r="J251">
        <f t="shared" si="22"/>
        <v>0</v>
      </c>
      <c r="K251">
        <v>2.5999999999999999E-2</v>
      </c>
      <c r="L251">
        <v>5765</v>
      </c>
      <c r="M251">
        <v>17</v>
      </c>
      <c r="N251">
        <v>81.8</v>
      </c>
      <c r="O251">
        <v>72932.55</v>
      </c>
      <c r="P251">
        <v>5.0999999999999996</v>
      </c>
      <c r="Q251">
        <v>0</v>
      </c>
      <c r="R251">
        <v>3.6</v>
      </c>
      <c r="S251">
        <v>642751.42000000004</v>
      </c>
      <c r="T251">
        <v>131942.15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f t="shared" si="18"/>
        <v>1</v>
      </c>
      <c r="F252">
        <f t="shared" si="19"/>
        <v>0</v>
      </c>
      <c r="G252">
        <f t="shared" si="20"/>
        <v>0</v>
      </c>
      <c r="H252">
        <f t="shared" si="23"/>
        <v>0</v>
      </c>
      <c r="I252">
        <f t="shared" si="21"/>
        <v>1</v>
      </c>
      <c r="J252">
        <f t="shared" si="22"/>
        <v>0</v>
      </c>
      <c r="K252">
        <v>0.27300000000000002</v>
      </c>
      <c r="L252">
        <v>6322</v>
      </c>
      <c r="M252">
        <v>15</v>
      </c>
      <c r="N252">
        <v>88.4</v>
      </c>
      <c r="O252">
        <v>38361.93</v>
      </c>
      <c r="P252">
        <v>0.83</v>
      </c>
      <c r="Q252">
        <v>0</v>
      </c>
      <c r="R252">
        <v>4</v>
      </c>
      <c r="S252">
        <v>647953.78</v>
      </c>
      <c r="T252">
        <v>118497.43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f t="shared" si="18"/>
        <v>0</v>
      </c>
      <c r="F253">
        <f t="shared" si="19"/>
        <v>1</v>
      </c>
      <c r="G253">
        <f t="shared" si="20"/>
        <v>0</v>
      </c>
      <c r="H253">
        <f t="shared" si="23"/>
        <v>0</v>
      </c>
      <c r="I253">
        <f t="shared" si="21"/>
        <v>1</v>
      </c>
      <c r="J253">
        <f t="shared" si="22"/>
        <v>0</v>
      </c>
      <c r="K253">
        <v>8.6999999999999994E-2</v>
      </c>
      <c r="L253">
        <v>6840</v>
      </c>
      <c r="M253">
        <v>14</v>
      </c>
      <c r="N253">
        <v>79.2</v>
      </c>
      <c r="O253">
        <v>97480.94</v>
      </c>
      <c r="P253">
        <v>1.1399999999999999</v>
      </c>
      <c r="Q253">
        <v>0</v>
      </c>
      <c r="R253">
        <v>4</v>
      </c>
      <c r="S253">
        <v>729440.45</v>
      </c>
      <c r="T253">
        <v>87614.29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f t="shared" si="18"/>
        <v>0</v>
      </c>
      <c r="F254">
        <f t="shared" si="19"/>
        <v>1</v>
      </c>
      <c r="G254">
        <f t="shared" si="20"/>
        <v>0</v>
      </c>
      <c r="H254">
        <f t="shared" si="23"/>
        <v>0</v>
      </c>
      <c r="I254">
        <f t="shared" si="21"/>
        <v>0</v>
      </c>
      <c r="J254">
        <f t="shared" si="22"/>
        <v>0</v>
      </c>
      <c r="K254">
        <v>0.05</v>
      </c>
      <c r="L254">
        <v>6782</v>
      </c>
      <c r="M254">
        <v>16</v>
      </c>
      <c r="N254">
        <v>99</v>
      </c>
      <c r="O254">
        <v>81801.8</v>
      </c>
      <c r="P254">
        <v>9.5399999999999991</v>
      </c>
      <c r="Q254">
        <v>0</v>
      </c>
      <c r="R254">
        <v>3.7</v>
      </c>
      <c r="S254">
        <v>764949</v>
      </c>
      <c r="T254">
        <v>148322.43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f t="shared" si="18"/>
        <v>0</v>
      </c>
      <c r="F255">
        <f t="shared" si="19"/>
        <v>1</v>
      </c>
      <c r="G255">
        <f t="shared" si="20"/>
        <v>0</v>
      </c>
      <c r="H255">
        <f t="shared" si="23"/>
        <v>0</v>
      </c>
      <c r="I255">
        <f t="shared" si="21"/>
        <v>0</v>
      </c>
      <c r="J255">
        <f t="shared" si="22"/>
        <v>0</v>
      </c>
      <c r="K255">
        <v>7.3999999999999996E-2</v>
      </c>
      <c r="L255">
        <v>6856</v>
      </c>
      <c r="M255">
        <v>17</v>
      </c>
      <c r="N255">
        <v>89.5</v>
      </c>
      <c r="O255">
        <v>63582.11</v>
      </c>
      <c r="P255">
        <v>5.48</v>
      </c>
      <c r="Q255">
        <v>0</v>
      </c>
      <c r="R255">
        <v>3.2</v>
      </c>
      <c r="S255">
        <v>799046.94</v>
      </c>
      <c r="T255">
        <v>144553.64000000001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f t="shared" si="18"/>
        <v>0</v>
      </c>
      <c r="F256">
        <f t="shared" si="19"/>
        <v>1</v>
      </c>
      <c r="G256">
        <f t="shared" si="20"/>
        <v>0</v>
      </c>
      <c r="H256">
        <f t="shared" si="23"/>
        <v>0</v>
      </c>
      <c r="I256">
        <f t="shared" si="21"/>
        <v>0</v>
      </c>
      <c r="J256">
        <f t="shared" si="22"/>
        <v>0</v>
      </c>
      <c r="K256">
        <v>5.8999999999999997E-2</v>
      </c>
      <c r="L256">
        <v>5641</v>
      </c>
      <c r="M256">
        <v>13</v>
      </c>
      <c r="N256">
        <v>87.9</v>
      </c>
      <c r="O256">
        <v>75412.740000000005</v>
      </c>
      <c r="P256">
        <v>0.84</v>
      </c>
      <c r="Q256">
        <v>0</v>
      </c>
      <c r="R256">
        <v>3.6</v>
      </c>
      <c r="S256">
        <v>720079.54</v>
      </c>
      <c r="T256">
        <v>119499.47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f t="shared" si="18"/>
        <v>0</v>
      </c>
      <c r="F257">
        <f t="shared" si="19"/>
        <v>1</v>
      </c>
      <c r="G257">
        <f t="shared" si="20"/>
        <v>0</v>
      </c>
      <c r="H257">
        <f t="shared" si="23"/>
        <v>0</v>
      </c>
      <c r="I257">
        <f t="shared" si="21"/>
        <v>0</v>
      </c>
      <c r="J257">
        <f t="shared" si="22"/>
        <v>1</v>
      </c>
      <c r="K257">
        <v>0</v>
      </c>
      <c r="L257">
        <v>5787</v>
      </c>
      <c r="M257">
        <v>17</v>
      </c>
      <c r="N257">
        <v>88.3</v>
      </c>
      <c r="O257">
        <v>36290.080000000002</v>
      </c>
      <c r="P257">
        <v>4.1900000000000004</v>
      </c>
      <c r="Q257">
        <v>0</v>
      </c>
      <c r="R257">
        <v>4.0999999999999996</v>
      </c>
      <c r="S257">
        <v>612390.14</v>
      </c>
      <c r="T257">
        <v>108985.74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f t="shared" ref="E258:E321" si="24">IF(C259="North",1,0)</f>
        <v>0</v>
      </c>
      <c r="F258">
        <f t="shared" ref="F258:F321" si="25">IF(C259="South",1,0)</f>
        <v>1</v>
      </c>
      <c r="G258">
        <f t="shared" ref="G258:G321" si="26">IF(C259="West",1,0)</f>
        <v>0</v>
      </c>
      <c r="H258">
        <f t="shared" si="23"/>
        <v>0</v>
      </c>
      <c r="I258">
        <f t="shared" ref="I258:I321" si="27">IF(D258="High Street",1,0)</f>
        <v>0</v>
      </c>
      <c r="J258">
        <f t="shared" ref="J258:J321" si="28">IF(D259="Mall",1,0)</f>
        <v>1</v>
      </c>
      <c r="K258">
        <v>5.0999999999999997E-2</v>
      </c>
      <c r="L258">
        <v>8165</v>
      </c>
      <c r="M258">
        <v>19</v>
      </c>
      <c r="N258">
        <v>87.8</v>
      </c>
      <c r="O258">
        <v>65272.58</v>
      </c>
      <c r="P258">
        <v>1.26</v>
      </c>
      <c r="Q258">
        <v>1</v>
      </c>
      <c r="R258">
        <v>4.3</v>
      </c>
      <c r="S258">
        <v>840108.12</v>
      </c>
      <c r="T258">
        <v>126587.01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f t="shared" si="24"/>
        <v>0</v>
      </c>
      <c r="F259">
        <f t="shared" si="25"/>
        <v>1</v>
      </c>
      <c r="G259">
        <f t="shared" si="26"/>
        <v>0</v>
      </c>
      <c r="H259">
        <f t="shared" ref="H259:H321" si="29">IF(D260="Residential",1,0)</f>
        <v>0</v>
      </c>
      <c r="I259">
        <f t="shared" si="27"/>
        <v>0</v>
      </c>
      <c r="J259">
        <f t="shared" si="28"/>
        <v>1</v>
      </c>
      <c r="K259">
        <v>0.114</v>
      </c>
      <c r="L259">
        <v>7574</v>
      </c>
      <c r="M259">
        <v>19</v>
      </c>
      <c r="N259">
        <v>82.7</v>
      </c>
      <c r="O259">
        <v>28670.43</v>
      </c>
      <c r="P259">
        <v>2.74</v>
      </c>
      <c r="Q259">
        <v>0</v>
      </c>
      <c r="R259">
        <v>4.5999999999999996</v>
      </c>
      <c r="S259">
        <v>697888.09</v>
      </c>
      <c r="T259">
        <v>116249.87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f t="shared" si="24"/>
        <v>0</v>
      </c>
      <c r="F260">
        <f t="shared" si="25"/>
        <v>1</v>
      </c>
      <c r="G260">
        <f t="shared" si="26"/>
        <v>0</v>
      </c>
      <c r="H260">
        <f t="shared" si="29"/>
        <v>0</v>
      </c>
      <c r="I260">
        <f t="shared" si="27"/>
        <v>0</v>
      </c>
      <c r="J260">
        <f t="shared" si="28"/>
        <v>1</v>
      </c>
      <c r="K260">
        <v>0.14299999999999999</v>
      </c>
      <c r="L260">
        <v>8634</v>
      </c>
      <c r="M260">
        <v>19</v>
      </c>
      <c r="N260">
        <v>87.5</v>
      </c>
      <c r="O260">
        <v>44189.34</v>
      </c>
      <c r="P260">
        <v>3.69</v>
      </c>
      <c r="Q260">
        <v>0</v>
      </c>
      <c r="R260">
        <v>4.4000000000000004</v>
      </c>
      <c r="S260">
        <v>746115.59</v>
      </c>
      <c r="T260">
        <v>94662.96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f t="shared" si="24"/>
        <v>0</v>
      </c>
      <c r="F261">
        <f t="shared" si="25"/>
        <v>0</v>
      </c>
      <c r="G261">
        <f t="shared" si="26"/>
        <v>1</v>
      </c>
      <c r="H261">
        <f t="shared" si="29"/>
        <v>0</v>
      </c>
      <c r="I261">
        <f t="shared" si="27"/>
        <v>0</v>
      </c>
      <c r="J261">
        <f t="shared" si="28"/>
        <v>0</v>
      </c>
      <c r="K261">
        <v>7.0000000000000001E-3</v>
      </c>
      <c r="L261">
        <v>7836</v>
      </c>
      <c r="M261">
        <v>21</v>
      </c>
      <c r="N261">
        <v>92.2</v>
      </c>
      <c r="O261">
        <v>38397.82</v>
      </c>
      <c r="P261">
        <v>1.82</v>
      </c>
      <c r="Q261">
        <v>0</v>
      </c>
      <c r="R261">
        <v>3.6</v>
      </c>
      <c r="S261">
        <v>776110.32</v>
      </c>
      <c r="T261">
        <v>139676.21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f t="shared" si="24"/>
        <v>0</v>
      </c>
      <c r="F262">
        <f t="shared" si="25"/>
        <v>0</v>
      </c>
      <c r="G262">
        <f t="shared" si="26"/>
        <v>1</v>
      </c>
      <c r="H262">
        <f t="shared" si="29"/>
        <v>0</v>
      </c>
      <c r="I262">
        <f t="shared" si="27"/>
        <v>1</v>
      </c>
      <c r="J262">
        <f t="shared" si="28"/>
        <v>0</v>
      </c>
      <c r="K262">
        <v>0.13500000000000001</v>
      </c>
      <c r="L262">
        <v>3047</v>
      </c>
      <c r="M262">
        <v>10</v>
      </c>
      <c r="N262">
        <v>90.3</v>
      </c>
      <c r="O262">
        <v>14519.37</v>
      </c>
      <c r="P262">
        <v>6.62</v>
      </c>
      <c r="Q262">
        <v>0</v>
      </c>
      <c r="R262">
        <v>4.2</v>
      </c>
      <c r="S262">
        <v>528852.62</v>
      </c>
      <c r="T262">
        <v>68426.210000000006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f t="shared" si="24"/>
        <v>0</v>
      </c>
      <c r="F263">
        <f t="shared" si="25"/>
        <v>0</v>
      </c>
      <c r="G263">
        <f t="shared" si="26"/>
        <v>1</v>
      </c>
      <c r="H263">
        <f t="shared" si="29"/>
        <v>0</v>
      </c>
      <c r="I263">
        <f t="shared" si="27"/>
        <v>1</v>
      </c>
      <c r="J263">
        <f t="shared" si="28"/>
        <v>0</v>
      </c>
      <c r="K263">
        <v>0.16900000000000001</v>
      </c>
      <c r="L263">
        <v>4783</v>
      </c>
      <c r="M263">
        <v>13</v>
      </c>
      <c r="N263">
        <v>87.3</v>
      </c>
      <c r="O263">
        <v>43288.2</v>
      </c>
      <c r="P263">
        <v>6</v>
      </c>
      <c r="Q263">
        <v>0</v>
      </c>
      <c r="R263">
        <v>4.2</v>
      </c>
      <c r="S263">
        <v>605751.32999999996</v>
      </c>
      <c r="T263">
        <v>60685.53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f t="shared" si="24"/>
        <v>0</v>
      </c>
      <c r="F264">
        <f t="shared" si="25"/>
        <v>0</v>
      </c>
      <c r="G264">
        <f t="shared" si="26"/>
        <v>1</v>
      </c>
      <c r="H264">
        <f t="shared" si="29"/>
        <v>0</v>
      </c>
      <c r="I264">
        <f t="shared" si="27"/>
        <v>1</v>
      </c>
      <c r="J264">
        <f t="shared" si="28"/>
        <v>0</v>
      </c>
      <c r="K264">
        <v>8.5999999999999993E-2</v>
      </c>
      <c r="L264">
        <v>4902</v>
      </c>
      <c r="M264">
        <v>11</v>
      </c>
      <c r="N264">
        <v>83.7</v>
      </c>
      <c r="O264">
        <v>51450.55</v>
      </c>
      <c r="P264">
        <v>6.92</v>
      </c>
      <c r="Q264">
        <v>1</v>
      </c>
      <c r="R264">
        <v>4.2</v>
      </c>
      <c r="S264">
        <v>677640.65</v>
      </c>
      <c r="T264">
        <v>111610.89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f t="shared" si="24"/>
        <v>0</v>
      </c>
      <c r="F265">
        <f t="shared" si="25"/>
        <v>0</v>
      </c>
      <c r="G265">
        <f t="shared" si="26"/>
        <v>0</v>
      </c>
      <c r="H265">
        <f t="shared" si="29"/>
        <v>0</v>
      </c>
      <c r="I265">
        <f t="shared" si="27"/>
        <v>1</v>
      </c>
      <c r="J265">
        <f t="shared" si="28"/>
        <v>0</v>
      </c>
      <c r="K265">
        <v>0.217</v>
      </c>
      <c r="L265">
        <v>4022</v>
      </c>
      <c r="M265">
        <v>12</v>
      </c>
      <c r="N265">
        <v>93.8</v>
      </c>
      <c r="O265">
        <v>58688.26</v>
      </c>
      <c r="P265">
        <v>11.78</v>
      </c>
      <c r="Q265">
        <v>0</v>
      </c>
      <c r="R265">
        <v>3.7</v>
      </c>
      <c r="S265">
        <v>636613.23</v>
      </c>
      <c r="T265">
        <v>78908.350000000006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f t="shared" si="24"/>
        <v>0</v>
      </c>
      <c r="F266">
        <f t="shared" si="25"/>
        <v>0</v>
      </c>
      <c r="G266">
        <f t="shared" si="26"/>
        <v>0</v>
      </c>
      <c r="H266">
        <f t="shared" si="29"/>
        <v>0</v>
      </c>
      <c r="I266">
        <f t="shared" si="27"/>
        <v>1</v>
      </c>
      <c r="J266">
        <f t="shared" si="28"/>
        <v>0</v>
      </c>
      <c r="K266">
        <v>9.4E-2</v>
      </c>
      <c r="L266">
        <v>7324</v>
      </c>
      <c r="M266">
        <v>15</v>
      </c>
      <c r="N266">
        <v>95.8</v>
      </c>
      <c r="O266">
        <v>58981.91</v>
      </c>
      <c r="P266">
        <v>0.5</v>
      </c>
      <c r="Q266">
        <v>0</v>
      </c>
      <c r="R266">
        <v>3.5</v>
      </c>
      <c r="S266">
        <v>708985.19</v>
      </c>
      <c r="T266">
        <v>125368.16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f t="shared" si="24"/>
        <v>0</v>
      </c>
      <c r="F267">
        <f t="shared" si="25"/>
        <v>0</v>
      </c>
      <c r="G267">
        <f t="shared" si="26"/>
        <v>0</v>
      </c>
      <c r="H267">
        <f t="shared" si="29"/>
        <v>0</v>
      </c>
      <c r="I267">
        <f t="shared" si="27"/>
        <v>1</v>
      </c>
      <c r="J267">
        <f t="shared" si="28"/>
        <v>0</v>
      </c>
      <c r="K267">
        <v>0.21099999999999999</v>
      </c>
      <c r="L267">
        <v>8129</v>
      </c>
      <c r="M267">
        <v>20</v>
      </c>
      <c r="N267">
        <v>85.2</v>
      </c>
      <c r="O267">
        <v>73454.539999999994</v>
      </c>
      <c r="P267">
        <v>0.88</v>
      </c>
      <c r="Q267">
        <v>0</v>
      </c>
      <c r="R267">
        <v>3.7</v>
      </c>
      <c r="S267">
        <v>767792.94</v>
      </c>
      <c r="T267">
        <v>96235.77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f t="shared" si="24"/>
        <v>0</v>
      </c>
      <c r="F268">
        <f t="shared" si="25"/>
        <v>0</v>
      </c>
      <c r="G268">
        <f t="shared" si="26"/>
        <v>0</v>
      </c>
      <c r="H268">
        <f t="shared" si="29"/>
        <v>0</v>
      </c>
      <c r="I268">
        <f t="shared" si="27"/>
        <v>1</v>
      </c>
      <c r="J268">
        <f t="shared" si="28"/>
        <v>0</v>
      </c>
      <c r="K268">
        <v>0.17</v>
      </c>
      <c r="L268">
        <v>7969</v>
      </c>
      <c r="M268">
        <v>21</v>
      </c>
      <c r="N268">
        <v>88.3</v>
      </c>
      <c r="O268">
        <v>56602.39</v>
      </c>
      <c r="P268">
        <v>2.25</v>
      </c>
      <c r="Q268">
        <v>0</v>
      </c>
      <c r="R268">
        <v>3.7</v>
      </c>
      <c r="S268">
        <v>745580.51</v>
      </c>
      <c r="T268">
        <v>116273.68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f t="shared" si="24"/>
        <v>0</v>
      </c>
      <c r="F269">
        <f t="shared" si="25"/>
        <v>0</v>
      </c>
      <c r="G269">
        <f t="shared" si="26"/>
        <v>0</v>
      </c>
      <c r="H269">
        <f t="shared" si="29"/>
        <v>0</v>
      </c>
      <c r="I269">
        <f t="shared" si="27"/>
        <v>1</v>
      </c>
      <c r="J269">
        <f t="shared" si="28"/>
        <v>1</v>
      </c>
      <c r="K269">
        <v>2.5999999999999999E-2</v>
      </c>
      <c r="L269">
        <v>7240</v>
      </c>
      <c r="M269">
        <v>15</v>
      </c>
      <c r="N269">
        <v>92.9</v>
      </c>
      <c r="O269">
        <v>67722.289999999994</v>
      </c>
      <c r="P269">
        <v>0.28999999999999998</v>
      </c>
      <c r="Q269">
        <v>0</v>
      </c>
      <c r="R269">
        <v>3.5</v>
      </c>
      <c r="S269">
        <v>762328.31</v>
      </c>
      <c r="T269">
        <v>159158.19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f t="shared" si="24"/>
        <v>0</v>
      </c>
      <c r="F270">
        <f t="shared" si="25"/>
        <v>0</v>
      </c>
      <c r="G270">
        <f t="shared" si="26"/>
        <v>0</v>
      </c>
      <c r="H270">
        <f t="shared" si="29"/>
        <v>0</v>
      </c>
      <c r="I270">
        <f t="shared" si="27"/>
        <v>0</v>
      </c>
      <c r="J270">
        <f t="shared" si="28"/>
        <v>1</v>
      </c>
      <c r="K270">
        <v>0.106</v>
      </c>
      <c r="L270">
        <v>8052</v>
      </c>
      <c r="M270">
        <v>16</v>
      </c>
      <c r="N270">
        <v>94.9</v>
      </c>
      <c r="O270">
        <v>48752.92</v>
      </c>
      <c r="P270">
        <v>0.65</v>
      </c>
      <c r="Q270">
        <v>0</v>
      </c>
      <c r="R270">
        <v>3.6</v>
      </c>
      <c r="S270">
        <v>660633.99</v>
      </c>
      <c r="T270">
        <v>118768.66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f t="shared" si="24"/>
        <v>0</v>
      </c>
      <c r="F271">
        <f t="shared" si="25"/>
        <v>0</v>
      </c>
      <c r="G271">
        <f t="shared" si="26"/>
        <v>0</v>
      </c>
      <c r="H271">
        <f t="shared" si="29"/>
        <v>0</v>
      </c>
      <c r="I271">
        <f t="shared" si="27"/>
        <v>0</v>
      </c>
      <c r="J271">
        <f t="shared" si="28"/>
        <v>1</v>
      </c>
      <c r="K271">
        <v>0.13900000000000001</v>
      </c>
      <c r="L271">
        <v>8018</v>
      </c>
      <c r="M271">
        <v>20</v>
      </c>
      <c r="N271">
        <v>89</v>
      </c>
      <c r="O271">
        <v>23914.97</v>
      </c>
      <c r="P271">
        <v>0.2</v>
      </c>
      <c r="Q271">
        <v>0</v>
      </c>
      <c r="R271">
        <v>3.5</v>
      </c>
      <c r="S271">
        <v>739374.56</v>
      </c>
      <c r="T271">
        <v>121032.29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f t="shared" si="24"/>
        <v>0</v>
      </c>
      <c r="F272">
        <f t="shared" si="25"/>
        <v>0</v>
      </c>
      <c r="G272">
        <f t="shared" si="26"/>
        <v>0</v>
      </c>
      <c r="H272">
        <f t="shared" si="29"/>
        <v>0</v>
      </c>
      <c r="I272">
        <f t="shared" si="27"/>
        <v>0</v>
      </c>
      <c r="J272">
        <f t="shared" si="28"/>
        <v>1</v>
      </c>
      <c r="K272">
        <v>0.19800000000000001</v>
      </c>
      <c r="L272">
        <v>10192</v>
      </c>
      <c r="M272">
        <v>21</v>
      </c>
      <c r="N272">
        <v>87.6</v>
      </c>
      <c r="O272">
        <v>61995.3</v>
      </c>
      <c r="P272">
        <v>3.63</v>
      </c>
      <c r="Q272">
        <v>1</v>
      </c>
      <c r="R272">
        <v>3.8</v>
      </c>
      <c r="S272">
        <v>799756.46</v>
      </c>
      <c r="T272">
        <v>105052.93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f t="shared" si="24"/>
        <v>0</v>
      </c>
      <c r="F273">
        <f t="shared" si="25"/>
        <v>0</v>
      </c>
      <c r="G273">
        <f t="shared" si="26"/>
        <v>1</v>
      </c>
      <c r="H273">
        <f t="shared" si="29"/>
        <v>0</v>
      </c>
      <c r="I273">
        <f t="shared" si="27"/>
        <v>0</v>
      </c>
      <c r="J273">
        <f t="shared" si="28"/>
        <v>0</v>
      </c>
      <c r="K273">
        <v>0.111</v>
      </c>
      <c r="L273">
        <v>7446</v>
      </c>
      <c r="M273">
        <v>15</v>
      </c>
      <c r="N273">
        <v>86.2</v>
      </c>
      <c r="O273">
        <v>29344.93</v>
      </c>
      <c r="P273">
        <v>0.2</v>
      </c>
      <c r="Q273">
        <v>0</v>
      </c>
      <c r="R273">
        <v>3.2</v>
      </c>
      <c r="S273">
        <v>593343</v>
      </c>
      <c r="T273">
        <v>82832.240000000005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f t="shared" si="24"/>
        <v>0</v>
      </c>
      <c r="F274">
        <f t="shared" si="25"/>
        <v>0</v>
      </c>
      <c r="G274">
        <f t="shared" si="26"/>
        <v>1</v>
      </c>
      <c r="H274">
        <f t="shared" si="29"/>
        <v>0</v>
      </c>
      <c r="I274">
        <f t="shared" si="27"/>
        <v>1</v>
      </c>
      <c r="J274">
        <f t="shared" si="28"/>
        <v>0</v>
      </c>
      <c r="K274">
        <v>5.1999999999999998E-2</v>
      </c>
      <c r="L274">
        <v>5689</v>
      </c>
      <c r="M274">
        <v>17</v>
      </c>
      <c r="N274">
        <v>85.6</v>
      </c>
      <c r="O274">
        <v>50532.17</v>
      </c>
      <c r="P274">
        <v>6.23</v>
      </c>
      <c r="Q274">
        <v>0</v>
      </c>
      <c r="R274">
        <v>3.3</v>
      </c>
      <c r="S274">
        <v>645039.97</v>
      </c>
      <c r="T274">
        <v>83093.33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f t="shared" si="24"/>
        <v>0</v>
      </c>
      <c r="F275">
        <f t="shared" si="25"/>
        <v>0</v>
      </c>
      <c r="G275">
        <f t="shared" si="26"/>
        <v>1</v>
      </c>
      <c r="H275">
        <f t="shared" si="29"/>
        <v>0</v>
      </c>
      <c r="I275">
        <f t="shared" si="27"/>
        <v>1</v>
      </c>
      <c r="J275">
        <f t="shared" si="28"/>
        <v>0</v>
      </c>
      <c r="K275">
        <v>0.153</v>
      </c>
      <c r="L275">
        <v>3326</v>
      </c>
      <c r="M275">
        <v>14</v>
      </c>
      <c r="N275">
        <v>88.1</v>
      </c>
      <c r="O275">
        <v>17562.57</v>
      </c>
      <c r="P275">
        <v>1.04</v>
      </c>
      <c r="Q275">
        <v>0</v>
      </c>
      <c r="R275">
        <v>3.1</v>
      </c>
      <c r="S275">
        <v>561597.32999999996</v>
      </c>
      <c r="T275">
        <v>75072.75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f t="shared" si="24"/>
        <v>0</v>
      </c>
      <c r="F276">
        <f t="shared" si="25"/>
        <v>0</v>
      </c>
      <c r="G276">
        <f t="shared" si="26"/>
        <v>1</v>
      </c>
      <c r="H276">
        <f t="shared" si="29"/>
        <v>0</v>
      </c>
      <c r="I276">
        <f t="shared" si="27"/>
        <v>1</v>
      </c>
      <c r="J276">
        <f t="shared" si="28"/>
        <v>0</v>
      </c>
      <c r="K276">
        <v>0.14099999999999999</v>
      </c>
      <c r="L276">
        <v>5767</v>
      </c>
      <c r="M276">
        <v>17</v>
      </c>
      <c r="N276">
        <v>89.8</v>
      </c>
      <c r="O276">
        <v>47648.71</v>
      </c>
      <c r="P276">
        <v>1.76</v>
      </c>
      <c r="Q276">
        <v>0</v>
      </c>
      <c r="R276">
        <v>3.1</v>
      </c>
      <c r="S276">
        <v>635837.74</v>
      </c>
      <c r="T276">
        <v>114740.64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f t="shared" si="24"/>
        <v>0</v>
      </c>
      <c r="F277">
        <f t="shared" si="25"/>
        <v>1</v>
      </c>
      <c r="G277">
        <f t="shared" si="26"/>
        <v>0</v>
      </c>
      <c r="H277">
        <f t="shared" si="29"/>
        <v>1</v>
      </c>
      <c r="I277">
        <f t="shared" si="27"/>
        <v>1</v>
      </c>
      <c r="J277">
        <f t="shared" si="28"/>
        <v>0</v>
      </c>
      <c r="K277">
        <v>0.247</v>
      </c>
      <c r="L277">
        <v>5893</v>
      </c>
      <c r="M277">
        <v>18</v>
      </c>
      <c r="N277">
        <v>77.599999999999994</v>
      </c>
      <c r="O277">
        <v>38297.58</v>
      </c>
      <c r="P277">
        <v>2.86</v>
      </c>
      <c r="Q277">
        <v>0</v>
      </c>
      <c r="R277">
        <v>3</v>
      </c>
      <c r="S277">
        <v>686737.87</v>
      </c>
      <c r="T277">
        <v>83839.67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f t="shared" si="24"/>
        <v>0</v>
      </c>
      <c r="F278">
        <f t="shared" si="25"/>
        <v>1</v>
      </c>
      <c r="G278">
        <f t="shared" si="26"/>
        <v>0</v>
      </c>
      <c r="H278">
        <f t="shared" si="29"/>
        <v>1</v>
      </c>
      <c r="I278">
        <f t="shared" si="27"/>
        <v>0</v>
      </c>
      <c r="J278">
        <f t="shared" si="28"/>
        <v>0</v>
      </c>
      <c r="K278">
        <v>0.13</v>
      </c>
      <c r="L278">
        <v>8564</v>
      </c>
      <c r="M278">
        <v>17</v>
      </c>
      <c r="N278">
        <v>87.4</v>
      </c>
      <c r="O278">
        <v>61784.11</v>
      </c>
      <c r="P278">
        <v>18.14</v>
      </c>
      <c r="Q278">
        <v>1</v>
      </c>
      <c r="R278">
        <v>3.4</v>
      </c>
      <c r="S278">
        <v>673076.34</v>
      </c>
      <c r="T278">
        <v>93899.76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f t="shared" si="24"/>
        <v>0</v>
      </c>
      <c r="F279">
        <f t="shared" si="25"/>
        <v>1</v>
      </c>
      <c r="G279">
        <f t="shared" si="26"/>
        <v>0</v>
      </c>
      <c r="H279">
        <f t="shared" si="29"/>
        <v>1</v>
      </c>
      <c r="I279">
        <f t="shared" si="27"/>
        <v>0</v>
      </c>
      <c r="J279">
        <f t="shared" si="28"/>
        <v>0</v>
      </c>
      <c r="K279">
        <v>0</v>
      </c>
      <c r="L279">
        <v>8001</v>
      </c>
      <c r="M279">
        <v>19</v>
      </c>
      <c r="N279">
        <v>88.7</v>
      </c>
      <c r="O279">
        <v>36832.33</v>
      </c>
      <c r="P279">
        <v>3.39</v>
      </c>
      <c r="Q279">
        <v>0</v>
      </c>
      <c r="R279">
        <v>4</v>
      </c>
      <c r="S279">
        <v>738548.42</v>
      </c>
      <c r="T279">
        <v>134282.76999999999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f t="shared" si="24"/>
        <v>0</v>
      </c>
      <c r="F280">
        <f t="shared" si="25"/>
        <v>1</v>
      </c>
      <c r="G280">
        <f t="shared" si="26"/>
        <v>0</v>
      </c>
      <c r="H280">
        <f t="shared" si="29"/>
        <v>1</v>
      </c>
      <c r="I280">
        <f t="shared" si="27"/>
        <v>0</v>
      </c>
      <c r="J280">
        <f t="shared" si="28"/>
        <v>0</v>
      </c>
      <c r="K280">
        <v>0.21299999999999999</v>
      </c>
      <c r="L280">
        <v>9324</v>
      </c>
      <c r="M280">
        <v>18</v>
      </c>
      <c r="N280">
        <v>86.5</v>
      </c>
      <c r="O280">
        <v>48609.41</v>
      </c>
      <c r="P280">
        <v>1.44</v>
      </c>
      <c r="Q280">
        <v>0</v>
      </c>
      <c r="R280">
        <v>3.9</v>
      </c>
      <c r="S280">
        <v>756619.77</v>
      </c>
      <c r="T280">
        <v>112057.69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f t="shared" si="24"/>
        <v>0</v>
      </c>
      <c r="F281">
        <f t="shared" si="25"/>
        <v>1</v>
      </c>
      <c r="G281">
        <f t="shared" si="26"/>
        <v>0</v>
      </c>
      <c r="H281">
        <f t="shared" si="29"/>
        <v>0</v>
      </c>
      <c r="I281">
        <f t="shared" si="27"/>
        <v>0</v>
      </c>
      <c r="J281">
        <f t="shared" si="28"/>
        <v>0</v>
      </c>
      <c r="K281">
        <v>4.0000000000000001E-3</v>
      </c>
      <c r="L281">
        <v>9109</v>
      </c>
      <c r="M281">
        <v>23</v>
      </c>
      <c r="N281">
        <v>87</v>
      </c>
      <c r="O281">
        <v>70284.06</v>
      </c>
      <c r="P281">
        <v>3.65</v>
      </c>
      <c r="Q281">
        <v>0</v>
      </c>
      <c r="R281">
        <v>3.7</v>
      </c>
      <c r="S281">
        <v>761122.42</v>
      </c>
      <c r="T281">
        <v>149802.04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f t="shared" si="24"/>
        <v>0</v>
      </c>
      <c r="F282">
        <f t="shared" si="25"/>
        <v>1</v>
      </c>
      <c r="G282">
        <f t="shared" si="26"/>
        <v>0</v>
      </c>
      <c r="H282">
        <f t="shared" si="29"/>
        <v>0</v>
      </c>
      <c r="I282">
        <f t="shared" si="27"/>
        <v>1</v>
      </c>
      <c r="J282">
        <f t="shared" si="28"/>
        <v>0</v>
      </c>
      <c r="K282">
        <v>6.9000000000000006E-2</v>
      </c>
      <c r="L282">
        <v>4022</v>
      </c>
      <c r="M282">
        <v>10</v>
      </c>
      <c r="N282">
        <v>83</v>
      </c>
      <c r="O282">
        <v>45940.39</v>
      </c>
      <c r="P282">
        <v>1.23</v>
      </c>
      <c r="Q282">
        <v>1</v>
      </c>
      <c r="R282">
        <v>3.8</v>
      </c>
      <c r="S282">
        <v>524899.56999999995</v>
      </c>
      <c r="T282">
        <v>63619.98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f t="shared" si="24"/>
        <v>0</v>
      </c>
      <c r="F283">
        <f t="shared" si="25"/>
        <v>1</v>
      </c>
      <c r="G283">
        <f t="shared" si="26"/>
        <v>0</v>
      </c>
      <c r="H283">
        <f t="shared" si="29"/>
        <v>0</v>
      </c>
      <c r="I283">
        <f t="shared" si="27"/>
        <v>1</v>
      </c>
      <c r="J283">
        <f t="shared" si="28"/>
        <v>0</v>
      </c>
      <c r="K283">
        <v>5.0999999999999997E-2</v>
      </c>
      <c r="L283">
        <v>4355</v>
      </c>
      <c r="M283">
        <v>15</v>
      </c>
      <c r="N283">
        <v>87.9</v>
      </c>
      <c r="O283">
        <v>34771.26</v>
      </c>
      <c r="P283">
        <v>3.09</v>
      </c>
      <c r="Q283">
        <v>0</v>
      </c>
      <c r="R283">
        <v>4</v>
      </c>
      <c r="S283">
        <v>555557.77</v>
      </c>
      <c r="T283">
        <v>86475.51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f t="shared" si="24"/>
        <v>0</v>
      </c>
      <c r="F284">
        <f t="shared" si="25"/>
        <v>1</v>
      </c>
      <c r="G284">
        <f t="shared" si="26"/>
        <v>0</v>
      </c>
      <c r="H284">
        <f t="shared" si="29"/>
        <v>0</v>
      </c>
      <c r="I284">
        <f t="shared" si="27"/>
        <v>1</v>
      </c>
      <c r="J284">
        <f t="shared" si="28"/>
        <v>0</v>
      </c>
      <c r="K284">
        <v>7.0000000000000007E-2</v>
      </c>
      <c r="L284">
        <v>5745</v>
      </c>
      <c r="M284">
        <v>17</v>
      </c>
      <c r="N284">
        <v>95.8</v>
      </c>
      <c r="O284">
        <v>66104.19</v>
      </c>
      <c r="P284">
        <v>3.15</v>
      </c>
      <c r="Q284">
        <v>0</v>
      </c>
      <c r="R284">
        <v>4</v>
      </c>
      <c r="S284">
        <v>714083.68</v>
      </c>
      <c r="T284">
        <v>127231.74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f t="shared" si="24"/>
        <v>0</v>
      </c>
      <c r="F285">
        <f t="shared" si="25"/>
        <v>0</v>
      </c>
      <c r="G285">
        <f t="shared" si="26"/>
        <v>1</v>
      </c>
      <c r="H285">
        <f t="shared" si="29"/>
        <v>1</v>
      </c>
      <c r="I285">
        <f t="shared" si="27"/>
        <v>1</v>
      </c>
      <c r="J285">
        <f t="shared" si="28"/>
        <v>0</v>
      </c>
      <c r="K285">
        <v>0.122</v>
      </c>
      <c r="L285">
        <v>3027</v>
      </c>
      <c r="M285">
        <v>11</v>
      </c>
      <c r="N285">
        <v>80.900000000000006</v>
      </c>
      <c r="O285">
        <v>18599.21</v>
      </c>
      <c r="P285">
        <v>6.44</v>
      </c>
      <c r="Q285">
        <v>0</v>
      </c>
      <c r="R285">
        <v>4.2</v>
      </c>
      <c r="S285">
        <v>497439.82</v>
      </c>
      <c r="T285">
        <v>93372.75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f t="shared" si="24"/>
        <v>0</v>
      </c>
      <c r="F286">
        <f t="shared" si="25"/>
        <v>0</v>
      </c>
      <c r="G286">
        <f t="shared" si="26"/>
        <v>1</v>
      </c>
      <c r="H286">
        <f t="shared" si="29"/>
        <v>1</v>
      </c>
      <c r="I286">
        <f t="shared" si="27"/>
        <v>0</v>
      </c>
      <c r="J286">
        <f t="shared" si="28"/>
        <v>0</v>
      </c>
      <c r="K286">
        <v>8.9999999999999993E-3</v>
      </c>
      <c r="L286">
        <v>5562</v>
      </c>
      <c r="M286">
        <v>13</v>
      </c>
      <c r="N286">
        <v>86.3</v>
      </c>
      <c r="O286">
        <v>60183.06</v>
      </c>
      <c r="P286">
        <v>0.2</v>
      </c>
      <c r="Q286">
        <v>1</v>
      </c>
      <c r="R286">
        <v>4.5</v>
      </c>
      <c r="S286">
        <v>636775.66</v>
      </c>
      <c r="T286">
        <v>122636.86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f t="shared" si="24"/>
        <v>0</v>
      </c>
      <c r="F287">
        <f t="shared" si="25"/>
        <v>0</v>
      </c>
      <c r="G287">
        <f t="shared" si="26"/>
        <v>1</v>
      </c>
      <c r="H287">
        <f t="shared" si="29"/>
        <v>1</v>
      </c>
      <c r="I287">
        <f t="shared" si="27"/>
        <v>0</v>
      </c>
      <c r="J287">
        <f t="shared" si="28"/>
        <v>0</v>
      </c>
      <c r="K287">
        <v>0.14000000000000001</v>
      </c>
      <c r="L287">
        <v>4487</v>
      </c>
      <c r="M287">
        <v>10</v>
      </c>
      <c r="N287">
        <v>90.4</v>
      </c>
      <c r="O287">
        <v>74539.14</v>
      </c>
      <c r="P287">
        <v>0.59</v>
      </c>
      <c r="Q287">
        <v>0</v>
      </c>
      <c r="R287">
        <v>4.5</v>
      </c>
      <c r="S287">
        <v>633009.53</v>
      </c>
      <c r="T287">
        <v>123782.67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f t="shared" si="24"/>
        <v>0</v>
      </c>
      <c r="F288">
        <f t="shared" si="25"/>
        <v>0</v>
      </c>
      <c r="G288">
        <f t="shared" si="26"/>
        <v>1</v>
      </c>
      <c r="H288">
        <f t="shared" si="29"/>
        <v>1</v>
      </c>
      <c r="I288">
        <f t="shared" si="27"/>
        <v>0</v>
      </c>
      <c r="J288">
        <f t="shared" si="28"/>
        <v>0</v>
      </c>
      <c r="K288">
        <v>0.183</v>
      </c>
      <c r="L288">
        <v>4162</v>
      </c>
      <c r="M288">
        <v>11</v>
      </c>
      <c r="N288">
        <v>92</v>
      </c>
      <c r="O288">
        <v>55371.97</v>
      </c>
      <c r="P288">
        <v>0.2</v>
      </c>
      <c r="Q288">
        <v>1</v>
      </c>
      <c r="R288">
        <v>4.2</v>
      </c>
      <c r="S288">
        <v>609949</v>
      </c>
      <c r="T288">
        <v>126789.25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f t="shared" si="24"/>
        <v>0</v>
      </c>
      <c r="F289">
        <f t="shared" si="25"/>
        <v>0</v>
      </c>
      <c r="G289">
        <f t="shared" si="26"/>
        <v>0</v>
      </c>
      <c r="H289">
        <f t="shared" si="29"/>
        <v>1</v>
      </c>
      <c r="I289">
        <f t="shared" si="27"/>
        <v>0</v>
      </c>
      <c r="J289">
        <f t="shared" si="28"/>
        <v>0</v>
      </c>
      <c r="K289">
        <v>0.17399999999999999</v>
      </c>
      <c r="L289">
        <v>4094</v>
      </c>
      <c r="M289">
        <v>13</v>
      </c>
      <c r="N289">
        <v>82.4</v>
      </c>
      <c r="O289">
        <v>40928.69</v>
      </c>
      <c r="P289">
        <v>1.36</v>
      </c>
      <c r="Q289">
        <v>0</v>
      </c>
      <c r="R289">
        <v>4.8</v>
      </c>
      <c r="S289">
        <v>548103.69999999995</v>
      </c>
      <c r="T289">
        <v>99905.52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f t="shared" si="24"/>
        <v>0</v>
      </c>
      <c r="F290">
        <f t="shared" si="25"/>
        <v>0</v>
      </c>
      <c r="G290">
        <f t="shared" si="26"/>
        <v>0</v>
      </c>
      <c r="H290">
        <f t="shared" si="29"/>
        <v>1</v>
      </c>
      <c r="I290">
        <f t="shared" si="27"/>
        <v>0</v>
      </c>
      <c r="J290">
        <f t="shared" si="28"/>
        <v>0</v>
      </c>
      <c r="K290">
        <v>0.27300000000000002</v>
      </c>
      <c r="L290">
        <v>8484</v>
      </c>
      <c r="M290">
        <v>23</v>
      </c>
      <c r="N290">
        <v>72.900000000000006</v>
      </c>
      <c r="O290">
        <v>70012.41</v>
      </c>
      <c r="P290">
        <v>3.34</v>
      </c>
      <c r="Q290">
        <v>0</v>
      </c>
      <c r="R290">
        <v>3.7</v>
      </c>
      <c r="S290">
        <v>729424.42</v>
      </c>
      <c r="T290">
        <v>75592.28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f t="shared" si="24"/>
        <v>0</v>
      </c>
      <c r="F291">
        <f t="shared" si="25"/>
        <v>0</v>
      </c>
      <c r="G291">
        <f t="shared" si="26"/>
        <v>0</v>
      </c>
      <c r="H291">
        <f t="shared" si="29"/>
        <v>1</v>
      </c>
      <c r="I291">
        <f t="shared" si="27"/>
        <v>0</v>
      </c>
      <c r="J291">
        <f t="shared" si="28"/>
        <v>0</v>
      </c>
      <c r="K291">
        <v>0.28399999999999997</v>
      </c>
      <c r="L291">
        <v>7794</v>
      </c>
      <c r="M291">
        <v>22</v>
      </c>
      <c r="N291">
        <v>89</v>
      </c>
      <c r="O291">
        <v>68909.259999999995</v>
      </c>
      <c r="P291">
        <v>0.33</v>
      </c>
      <c r="Q291">
        <v>0</v>
      </c>
      <c r="R291">
        <v>4</v>
      </c>
      <c r="S291">
        <v>696261.49</v>
      </c>
      <c r="T291">
        <v>72455.350000000006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f t="shared" si="24"/>
        <v>0</v>
      </c>
      <c r="F292">
        <f t="shared" si="25"/>
        <v>0</v>
      </c>
      <c r="G292">
        <f t="shared" si="26"/>
        <v>0</v>
      </c>
      <c r="H292">
        <f t="shared" si="29"/>
        <v>1</v>
      </c>
      <c r="I292">
        <f t="shared" si="27"/>
        <v>0</v>
      </c>
      <c r="J292">
        <f t="shared" si="28"/>
        <v>0</v>
      </c>
      <c r="K292">
        <v>3.2000000000000001E-2</v>
      </c>
      <c r="L292">
        <v>8300</v>
      </c>
      <c r="M292">
        <v>21</v>
      </c>
      <c r="N292">
        <v>83.2</v>
      </c>
      <c r="O292">
        <v>56737.3</v>
      </c>
      <c r="P292">
        <v>3.44</v>
      </c>
      <c r="Q292">
        <v>1</v>
      </c>
      <c r="R292">
        <v>4.3</v>
      </c>
      <c r="S292">
        <v>813316.71</v>
      </c>
      <c r="T292">
        <v>110077.42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f t="shared" si="24"/>
        <v>0</v>
      </c>
      <c r="F293">
        <f t="shared" si="25"/>
        <v>0</v>
      </c>
      <c r="G293">
        <f t="shared" si="26"/>
        <v>1</v>
      </c>
      <c r="H293">
        <f t="shared" si="29"/>
        <v>0</v>
      </c>
      <c r="I293">
        <f t="shared" si="27"/>
        <v>0</v>
      </c>
      <c r="J293">
        <f t="shared" si="28"/>
        <v>0</v>
      </c>
      <c r="K293">
        <v>0</v>
      </c>
      <c r="L293">
        <v>7083</v>
      </c>
      <c r="M293">
        <v>15</v>
      </c>
      <c r="N293">
        <v>97</v>
      </c>
      <c r="O293">
        <v>54080.91</v>
      </c>
      <c r="P293">
        <v>5.33</v>
      </c>
      <c r="Q293">
        <v>0</v>
      </c>
      <c r="R293">
        <v>4.0999999999999996</v>
      </c>
      <c r="S293">
        <v>702068.92</v>
      </c>
      <c r="T293">
        <v>111266.63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f t="shared" si="24"/>
        <v>0</v>
      </c>
      <c r="F294">
        <f t="shared" si="25"/>
        <v>0</v>
      </c>
      <c r="G294">
        <f t="shared" si="26"/>
        <v>1</v>
      </c>
      <c r="H294">
        <f t="shared" si="29"/>
        <v>0</v>
      </c>
      <c r="I294">
        <f t="shared" si="27"/>
        <v>1</v>
      </c>
      <c r="J294">
        <f t="shared" si="28"/>
        <v>0</v>
      </c>
      <c r="K294">
        <v>9.6000000000000002E-2</v>
      </c>
      <c r="L294">
        <v>3834</v>
      </c>
      <c r="M294">
        <v>8</v>
      </c>
      <c r="N294">
        <v>86.7</v>
      </c>
      <c r="O294">
        <v>51996.32</v>
      </c>
      <c r="P294">
        <v>6.04</v>
      </c>
      <c r="Q294">
        <v>0</v>
      </c>
      <c r="R294">
        <v>4.5</v>
      </c>
      <c r="S294">
        <v>546223.69999999995</v>
      </c>
      <c r="T294">
        <v>100769.17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f t="shared" si="24"/>
        <v>0</v>
      </c>
      <c r="F295">
        <f t="shared" si="25"/>
        <v>0</v>
      </c>
      <c r="G295">
        <f t="shared" si="26"/>
        <v>1</v>
      </c>
      <c r="H295">
        <f t="shared" si="29"/>
        <v>0</v>
      </c>
      <c r="I295">
        <f t="shared" si="27"/>
        <v>1</v>
      </c>
      <c r="J295">
        <f t="shared" si="28"/>
        <v>0</v>
      </c>
      <c r="K295">
        <v>0.11899999999999999</v>
      </c>
      <c r="L295">
        <v>2358</v>
      </c>
      <c r="M295">
        <v>9</v>
      </c>
      <c r="N295">
        <v>88.7</v>
      </c>
      <c r="O295">
        <v>40102.879999999997</v>
      </c>
      <c r="P295">
        <v>1.6</v>
      </c>
      <c r="Q295">
        <v>0</v>
      </c>
      <c r="R295">
        <v>4.2</v>
      </c>
      <c r="S295">
        <v>533121.26</v>
      </c>
      <c r="T295">
        <v>55063.39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f t="shared" si="24"/>
        <v>0</v>
      </c>
      <c r="F296">
        <f t="shared" si="25"/>
        <v>0</v>
      </c>
      <c r="G296">
        <f t="shared" si="26"/>
        <v>1</v>
      </c>
      <c r="H296">
        <f t="shared" si="29"/>
        <v>0</v>
      </c>
      <c r="I296">
        <f t="shared" si="27"/>
        <v>1</v>
      </c>
      <c r="J296">
        <f t="shared" si="28"/>
        <v>0</v>
      </c>
      <c r="K296">
        <v>0.214</v>
      </c>
      <c r="L296">
        <v>1231</v>
      </c>
      <c r="M296">
        <v>10</v>
      </c>
      <c r="N296">
        <v>84.8</v>
      </c>
      <c r="O296">
        <v>59825.51</v>
      </c>
      <c r="P296">
        <v>8.9600000000000009</v>
      </c>
      <c r="Q296">
        <v>0</v>
      </c>
      <c r="R296">
        <v>4.7</v>
      </c>
      <c r="S296">
        <v>498970.32</v>
      </c>
      <c r="T296">
        <v>69656.7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f t="shared" si="24"/>
        <v>0</v>
      </c>
      <c r="F297">
        <f t="shared" si="25"/>
        <v>0</v>
      </c>
      <c r="G297">
        <f t="shared" si="26"/>
        <v>1</v>
      </c>
      <c r="H297">
        <f t="shared" si="29"/>
        <v>0</v>
      </c>
      <c r="I297">
        <f t="shared" si="27"/>
        <v>1</v>
      </c>
      <c r="J297">
        <f t="shared" si="28"/>
        <v>0</v>
      </c>
      <c r="K297">
        <v>0.17100000000000001</v>
      </c>
      <c r="L297">
        <v>1723</v>
      </c>
      <c r="M297">
        <v>9</v>
      </c>
      <c r="N297">
        <v>81</v>
      </c>
      <c r="O297">
        <v>27398.28</v>
      </c>
      <c r="P297">
        <v>0.74</v>
      </c>
      <c r="Q297">
        <v>0</v>
      </c>
      <c r="R297">
        <v>4.5999999999999996</v>
      </c>
      <c r="S297">
        <v>487738.26</v>
      </c>
      <c r="T297">
        <v>96435.6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f t="shared" si="24"/>
        <v>0</v>
      </c>
      <c r="F298">
        <f t="shared" si="25"/>
        <v>0</v>
      </c>
      <c r="G298">
        <f t="shared" si="26"/>
        <v>1</v>
      </c>
      <c r="H298">
        <f t="shared" si="29"/>
        <v>0</v>
      </c>
      <c r="I298">
        <f t="shared" si="27"/>
        <v>1</v>
      </c>
      <c r="J298">
        <f t="shared" si="28"/>
        <v>0</v>
      </c>
      <c r="K298">
        <v>3.5999999999999997E-2</v>
      </c>
      <c r="L298">
        <v>5896</v>
      </c>
      <c r="M298">
        <v>12</v>
      </c>
      <c r="N298">
        <v>93.1</v>
      </c>
      <c r="O298">
        <v>55599.56</v>
      </c>
      <c r="P298">
        <v>6.13</v>
      </c>
      <c r="Q298">
        <v>0</v>
      </c>
      <c r="R298">
        <v>3.3</v>
      </c>
      <c r="S298">
        <v>668459.37</v>
      </c>
      <c r="T298">
        <v>126435.42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f t="shared" si="24"/>
        <v>0</v>
      </c>
      <c r="F299">
        <f t="shared" si="25"/>
        <v>0</v>
      </c>
      <c r="G299">
        <f t="shared" si="26"/>
        <v>1</v>
      </c>
      <c r="H299">
        <f t="shared" si="29"/>
        <v>0</v>
      </c>
      <c r="I299">
        <f t="shared" si="27"/>
        <v>1</v>
      </c>
      <c r="J299">
        <f t="shared" si="28"/>
        <v>0</v>
      </c>
      <c r="K299">
        <v>0.10199999999999999</v>
      </c>
      <c r="L299">
        <v>5903</v>
      </c>
      <c r="M299">
        <v>14</v>
      </c>
      <c r="N299">
        <v>96.2</v>
      </c>
      <c r="O299">
        <v>55477.61</v>
      </c>
      <c r="P299">
        <v>1.41</v>
      </c>
      <c r="Q299">
        <v>0</v>
      </c>
      <c r="R299">
        <v>3.3</v>
      </c>
      <c r="S299">
        <v>763162.45</v>
      </c>
      <c r="T299">
        <v>162524.04999999999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f t="shared" si="24"/>
        <v>0</v>
      </c>
      <c r="F300">
        <f t="shared" si="25"/>
        <v>0</v>
      </c>
      <c r="G300">
        <f t="shared" si="26"/>
        <v>1</v>
      </c>
      <c r="H300">
        <f t="shared" si="29"/>
        <v>0</v>
      </c>
      <c r="I300">
        <f t="shared" si="27"/>
        <v>1</v>
      </c>
      <c r="J300">
        <f t="shared" si="28"/>
        <v>0</v>
      </c>
      <c r="K300">
        <v>0.114</v>
      </c>
      <c r="L300">
        <v>4898</v>
      </c>
      <c r="M300">
        <v>11</v>
      </c>
      <c r="N300">
        <v>91.7</v>
      </c>
      <c r="O300">
        <v>46174.7</v>
      </c>
      <c r="P300">
        <v>3.75</v>
      </c>
      <c r="Q300">
        <v>0</v>
      </c>
      <c r="R300">
        <v>3.1</v>
      </c>
      <c r="S300">
        <v>599017.32999999996</v>
      </c>
      <c r="T300">
        <v>134009.92000000001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f t="shared" si="24"/>
        <v>1</v>
      </c>
      <c r="F301">
        <f t="shared" si="25"/>
        <v>0</v>
      </c>
      <c r="G301">
        <f t="shared" si="26"/>
        <v>0</v>
      </c>
      <c r="H301">
        <f t="shared" si="29"/>
        <v>0</v>
      </c>
      <c r="I301">
        <f t="shared" si="27"/>
        <v>1</v>
      </c>
      <c r="J301">
        <f t="shared" si="28"/>
        <v>1</v>
      </c>
      <c r="K301">
        <v>0.11700000000000001</v>
      </c>
      <c r="L301">
        <v>1462</v>
      </c>
      <c r="M301">
        <v>6</v>
      </c>
      <c r="N301">
        <v>89.3</v>
      </c>
      <c r="O301">
        <v>24362.98</v>
      </c>
      <c r="P301">
        <v>15.06</v>
      </c>
      <c r="Q301">
        <v>0</v>
      </c>
      <c r="R301">
        <v>3.2</v>
      </c>
      <c r="S301">
        <v>401582.58</v>
      </c>
      <c r="T301">
        <v>68454.929999999993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f t="shared" si="24"/>
        <v>1</v>
      </c>
      <c r="F302">
        <f t="shared" si="25"/>
        <v>0</v>
      </c>
      <c r="G302">
        <f t="shared" si="26"/>
        <v>0</v>
      </c>
      <c r="H302">
        <f t="shared" si="29"/>
        <v>0</v>
      </c>
      <c r="I302">
        <f t="shared" si="27"/>
        <v>0</v>
      </c>
      <c r="J302">
        <f t="shared" si="28"/>
        <v>1</v>
      </c>
      <c r="K302">
        <v>0.14099999999999999</v>
      </c>
      <c r="L302">
        <v>8252</v>
      </c>
      <c r="M302">
        <v>22</v>
      </c>
      <c r="N302">
        <v>88.2</v>
      </c>
      <c r="O302">
        <v>40647.67</v>
      </c>
      <c r="P302">
        <v>5.07</v>
      </c>
      <c r="Q302">
        <v>1</v>
      </c>
      <c r="R302">
        <v>4.0999999999999996</v>
      </c>
      <c r="S302">
        <v>703812.99</v>
      </c>
      <c r="T302">
        <v>133577.98000000001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f t="shared" si="24"/>
        <v>1</v>
      </c>
      <c r="F303">
        <f t="shared" si="25"/>
        <v>0</v>
      </c>
      <c r="G303">
        <f t="shared" si="26"/>
        <v>0</v>
      </c>
      <c r="H303">
        <f t="shared" si="29"/>
        <v>0</v>
      </c>
      <c r="I303">
        <f t="shared" si="27"/>
        <v>0</v>
      </c>
      <c r="J303">
        <f t="shared" si="28"/>
        <v>1</v>
      </c>
      <c r="K303">
        <v>7.3999999999999996E-2</v>
      </c>
      <c r="L303">
        <v>7989</v>
      </c>
      <c r="M303">
        <v>20</v>
      </c>
      <c r="N303">
        <v>83.3</v>
      </c>
      <c r="O303">
        <v>63986.98</v>
      </c>
      <c r="P303">
        <v>3.6</v>
      </c>
      <c r="Q303">
        <v>0</v>
      </c>
      <c r="R303">
        <v>3.7</v>
      </c>
      <c r="S303">
        <v>724346.73</v>
      </c>
      <c r="T303">
        <v>155013.91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f t="shared" si="24"/>
        <v>1</v>
      </c>
      <c r="F304">
        <f t="shared" si="25"/>
        <v>0</v>
      </c>
      <c r="G304">
        <f t="shared" si="26"/>
        <v>0</v>
      </c>
      <c r="H304">
        <f t="shared" si="29"/>
        <v>0</v>
      </c>
      <c r="I304">
        <f t="shared" si="27"/>
        <v>0</v>
      </c>
      <c r="J304">
        <f t="shared" si="28"/>
        <v>1</v>
      </c>
      <c r="K304">
        <v>0.13800000000000001</v>
      </c>
      <c r="L304">
        <v>8268</v>
      </c>
      <c r="M304">
        <v>19</v>
      </c>
      <c r="N304">
        <v>87.3</v>
      </c>
      <c r="O304">
        <v>52843.75</v>
      </c>
      <c r="P304">
        <v>4.3899999999999997</v>
      </c>
      <c r="Q304">
        <v>1</v>
      </c>
      <c r="R304">
        <v>4.7</v>
      </c>
      <c r="S304">
        <v>730890.01</v>
      </c>
      <c r="T304">
        <v>105502.56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f t="shared" si="24"/>
        <v>0</v>
      </c>
      <c r="F305">
        <f t="shared" si="25"/>
        <v>1</v>
      </c>
      <c r="G305">
        <f t="shared" si="26"/>
        <v>0</v>
      </c>
      <c r="H305">
        <f t="shared" si="29"/>
        <v>1</v>
      </c>
      <c r="I305">
        <f t="shared" si="27"/>
        <v>0</v>
      </c>
      <c r="J305">
        <f t="shared" si="28"/>
        <v>0</v>
      </c>
      <c r="K305">
        <v>0.19800000000000001</v>
      </c>
      <c r="L305">
        <v>8183</v>
      </c>
      <c r="M305">
        <v>18</v>
      </c>
      <c r="N305">
        <v>93</v>
      </c>
      <c r="O305">
        <v>31997.25</v>
      </c>
      <c r="P305">
        <v>2.79</v>
      </c>
      <c r="Q305">
        <v>0</v>
      </c>
      <c r="R305">
        <v>4.2</v>
      </c>
      <c r="S305">
        <v>780580.95</v>
      </c>
      <c r="T305">
        <v>138144.46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f t="shared" si="24"/>
        <v>0</v>
      </c>
      <c r="F306">
        <f t="shared" si="25"/>
        <v>1</v>
      </c>
      <c r="G306">
        <f t="shared" si="26"/>
        <v>0</v>
      </c>
      <c r="H306">
        <f t="shared" si="29"/>
        <v>1</v>
      </c>
      <c r="I306">
        <f t="shared" si="27"/>
        <v>0</v>
      </c>
      <c r="J306">
        <f t="shared" si="28"/>
        <v>0</v>
      </c>
      <c r="K306">
        <v>0.183</v>
      </c>
      <c r="L306">
        <v>6534</v>
      </c>
      <c r="M306">
        <v>14</v>
      </c>
      <c r="N306">
        <v>94.5</v>
      </c>
      <c r="O306">
        <v>54948.02</v>
      </c>
      <c r="P306">
        <v>1.56</v>
      </c>
      <c r="Q306">
        <v>0</v>
      </c>
      <c r="R306">
        <v>4</v>
      </c>
      <c r="S306">
        <v>727957.48</v>
      </c>
      <c r="T306">
        <v>74805.23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f t="shared" si="24"/>
        <v>0</v>
      </c>
      <c r="F307">
        <f t="shared" si="25"/>
        <v>1</v>
      </c>
      <c r="G307">
        <f t="shared" si="26"/>
        <v>0</v>
      </c>
      <c r="H307">
        <f t="shared" si="29"/>
        <v>1</v>
      </c>
      <c r="I307">
        <f t="shared" si="27"/>
        <v>0</v>
      </c>
      <c r="J307">
        <f t="shared" si="28"/>
        <v>0</v>
      </c>
      <c r="K307">
        <v>4.7E-2</v>
      </c>
      <c r="L307">
        <v>5804</v>
      </c>
      <c r="M307">
        <v>16</v>
      </c>
      <c r="N307">
        <v>86.9</v>
      </c>
      <c r="O307">
        <v>46146.239999999998</v>
      </c>
      <c r="P307">
        <v>15.82</v>
      </c>
      <c r="Q307">
        <v>0</v>
      </c>
      <c r="R307">
        <v>3.8</v>
      </c>
      <c r="S307">
        <v>538376</v>
      </c>
      <c r="T307">
        <v>87605.62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f t="shared" si="24"/>
        <v>0</v>
      </c>
      <c r="F308">
        <f t="shared" si="25"/>
        <v>1</v>
      </c>
      <c r="G308">
        <f t="shared" si="26"/>
        <v>0</v>
      </c>
      <c r="H308">
        <f t="shared" si="29"/>
        <v>1</v>
      </c>
      <c r="I308">
        <f t="shared" si="27"/>
        <v>0</v>
      </c>
      <c r="J308">
        <f t="shared" si="28"/>
        <v>0</v>
      </c>
      <c r="K308">
        <v>0.14599999999999999</v>
      </c>
      <c r="L308">
        <v>6301</v>
      </c>
      <c r="M308">
        <v>14</v>
      </c>
      <c r="N308">
        <v>85.9</v>
      </c>
      <c r="O308">
        <v>22387.26</v>
      </c>
      <c r="P308">
        <v>1.17</v>
      </c>
      <c r="Q308">
        <v>1</v>
      </c>
      <c r="R308">
        <v>3.7</v>
      </c>
      <c r="S308">
        <v>665342.49</v>
      </c>
      <c r="T308">
        <v>93441.81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f t="shared" si="24"/>
        <v>0</v>
      </c>
      <c r="F309">
        <f t="shared" si="25"/>
        <v>1</v>
      </c>
      <c r="G309">
        <f t="shared" si="26"/>
        <v>0</v>
      </c>
      <c r="H309">
        <f t="shared" si="29"/>
        <v>0</v>
      </c>
      <c r="I309">
        <f t="shared" si="27"/>
        <v>0</v>
      </c>
      <c r="J309">
        <f t="shared" si="28"/>
        <v>0</v>
      </c>
      <c r="K309">
        <v>7.4999999999999997E-2</v>
      </c>
      <c r="L309">
        <v>6399</v>
      </c>
      <c r="M309">
        <v>16</v>
      </c>
      <c r="N309">
        <v>99</v>
      </c>
      <c r="O309">
        <v>60684.05</v>
      </c>
      <c r="P309">
        <v>3.82</v>
      </c>
      <c r="Q309">
        <v>0</v>
      </c>
      <c r="R309">
        <v>3.5</v>
      </c>
      <c r="S309">
        <v>651164.18000000005</v>
      </c>
      <c r="T309">
        <v>109466.5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f t="shared" si="24"/>
        <v>0</v>
      </c>
      <c r="F310">
        <f t="shared" si="25"/>
        <v>1</v>
      </c>
      <c r="G310">
        <f t="shared" si="26"/>
        <v>0</v>
      </c>
      <c r="H310">
        <f t="shared" si="29"/>
        <v>0</v>
      </c>
      <c r="I310">
        <f t="shared" si="27"/>
        <v>1</v>
      </c>
      <c r="J310">
        <f t="shared" si="28"/>
        <v>0</v>
      </c>
      <c r="K310">
        <v>0.154</v>
      </c>
      <c r="L310">
        <v>5759</v>
      </c>
      <c r="M310">
        <v>13</v>
      </c>
      <c r="N310">
        <v>87.5</v>
      </c>
      <c r="O310">
        <v>48465.599999999999</v>
      </c>
      <c r="P310">
        <v>4.1399999999999997</v>
      </c>
      <c r="Q310">
        <v>0</v>
      </c>
      <c r="R310">
        <v>4</v>
      </c>
      <c r="S310">
        <v>628538.30000000005</v>
      </c>
      <c r="T310">
        <v>112509.15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f t="shared" si="24"/>
        <v>0</v>
      </c>
      <c r="F311">
        <f t="shared" si="25"/>
        <v>1</v>
      </c>
      <c r="G311">
        <f t="shared" si="26"/>
        <v>0</v>
      </c>
      <c r="H311">
        <f t="shared" si="29"/>
        <v>0</v>
      </c>
      <c r="I311">
        <f t="shared" si="27"/>
        <v>1</v>
      </c>
      <c r="J311">
        <f t="shared" si="28"/>
        <v>0</v>
      </c>
      <c r="K311">
        <v>0.16700000000000001</v>
      </c>
      <c r="L311">
        <v>5285</v>
      </c>
      <c r="M311">
        <v>14</v>
      </c>
      <c r="N311">
        <v>79.7</v>
      </c>
      <c r="O311">
        <v>23702.38</v>
      </c>
      <c r="P311">
        <v>1.1000000000000001</v>
      </c>
      <c r="Q311">
        <v>0</v>
      </c>
      <c r="R311">
        <v>4.3</v>
      </c>
      <c r="S311">
        <v>536524.84</v>
      </c>
      <c r="T311">
        <v>92752.94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f t="shared" si="24"/>
        <v>0</v>
      </c>
      <c r="F312">
        <f t="shared" si="25"/>
        <v>1</v>
      </c>
      <c r="G312">
        <f t="shared" si="26"/>
        <v>0</v>
      </c>
      <c r="H312">
        <f t="shared" si="29"/>
        <v>0</v>
      </c>
      <c r="I312">
        <f t="shared" si="27"/>
        <v>1</v>
      </c>
      <c r="J312">
        <f t="shared" si="28"/>
        <v>0</v>
      </c>
      <c r="K312">
        <v>0.2</v>
      </c>
      <c r="L312">
        <v>5434</v>
      </c>
      <c r="M312">
        <v>13</v>
      </c>
      <c r="N312">
        <v>85.7</v>
      </c>
      <c r="O312">
        <v>54322.94</v>
      </c>
      <c r="P312">
        <v>10.6</v>
      </c>
      <c r="Q312">
        <v>0</v>
      </c>
      <c r="R312">
        <v>4.2</v>
      </c>
      <c r="S312">
        <v>621677.30000000005</v>
      </c>
      <c r="T312">
        <v>105192.52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f t="shared" si="24"/>
        <v>1</v>
      </c>
      <c r="F313">
        <f t="shared" si="25"/>
        <v>0</v>
      </c>
      <c r="G313">
        <f t="shared" si="26"/>
        <v>0</v>
      </c>
      <c r="H313">
        <f t="shared" si="29"/>
        <v>1</v>
      </c>
      <c r="I313">
        <f t="shared" si="27"/>
        <v>1</v>
      </c>
      <c r="J313">
        <f t="shared" si="28"/>
        <v>0</v>
      </c>
      <c r="K313">
        <v>0.14199999999999999</v>
      </c>
      <c r="L313">
        <v>7479</v>
      </c>
      <c r="M313">
        <v>20</v>
      </c>
      <c r="N313">
        <v>89</v>
      </c>
      <c r="O313">
        <v>86026.58</v>
      </c>
      <c r="P313">
        <v>0.9</v>
      </c>
      <c r="Q313">
        <v>0</v>
      </c>
      <c r="R313">
        <v>4</v>
      </c>
      <c r="S313">
        <v>771129.07</v>
      </c>
      <c r="T313">
        <v>116851.13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f t="shared" si="24"/>
        <v>1</v>
      </c>
      <c r="F314">
        <f t="shared" si="25"/>
        <v>0</v>
      </c>
      <c r="G314">
        <f t="shared" si="26"/>
        <v>0</v>
      </c>
      <c r="H314">
        <f t="shared" si="29"/>
        <v>1</v>
      </c>
      <c r="I314">
        <f t="shared" si="27"/>
        <v>0</v>
      </c>
      <c r="J314">
        <f t="shared" si="28"/>
        <v>0</v>
      </c>
      <c r="K314">
        <v>2.1000000000000001E-2</v>
      </c>
      <c r="L314">
        <v>6164</v>
      </c>
      <c r="M314">
        <v>16</v>
      </c>
      <c r="N314">
        <v>85.5</v>
      </c>
      <c r="O314">
        <v>78967.520000000004</v>
      </c>
      <c r="P314">
        <v>0.2</v>
      </c>
      <c r="Q314">
        <v>0</v>
      </c>
      <c r="R314">
        <v>3.4</v>
      </c>
      <c r="S314">
        <v>702052.47</v>
      </c>
      <c r="T314">
        <v>121732.51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f t="shared" si="24"/>
        <v>1</v>
      </c>
      <c r="F315">
        <f t="shared" si="25"/>
        <v>0</v>
      </c>
      <c r="G315">
        <f t="shared" si="26"/>
        <v>0</v>
      </c>
      <c r="H315">
        <f t="shared" si="29"/>
        <v>1</v>
      </c>
      <c r="I315">
        <f t="shared" si="27"/>
        <v>0</v>
      </c>
      <c r="J315">
        <f t="shared" si="28"/>
        <v>0</v>
      </c>
      <c r="K315">
        <v>0.183</v>
      </c>
      <c r="L315">
        <v>7973</v>
      </c>
      <c r="M315">
        <v>18</v>
      </c>
      <c r="N315">
        <v>94.8</v>
      </c>
      <c r="O315">
        <v>46767.99</v>
      </c>
      <c r="P315">
        <v>4.67</v>
      </c>
      <c r="Q315">
        <v>0</v>
      </c>
      <c r="R315">
        <v>4</v>
      </c>
      <c r="S315">
        <v>688368.46</v>
      </c>
      <c r="T315">
        <v>93588.42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f t="shared" si="24"/>
        <v>1</v>
      </c>
      <c r="F316">
        <f t="shared" si="25"/>
        <v>0</v>
      </c>
      <c r="G316">
        <f t="shared" si="26"/>
        <v>0</v>
      </c>
      <c r="H316">
        <f t="shared" si="29"/>
        <v>1</v>
      </c>
      <c r="I316">
        <f t="shared" si="27"/>
        <v>0</v>
      </c>
      <c r="J316">
        <f t="shared" si="28"/>
        <v>0</v>
      </c>
      <c r="K316">
        <v>9.0999999999999998E-2</v>
      </c>
      <c r="L316">
        <v>6000</v>
      </c>
      <c r="M316">
        <v>14</v>
      </c>
      <c r="N316">
        <v>98.2</v>
      </c>
      <c r="O316">
        <v>62507.16</v>
      </c>
      <c r="P316">
        <v>4.38</v>
      </c>
      <c r="Q316">
        <v>1</v>
      </c>
      <c r="R316">
        <v>3.9</v>
      </c>
      <c r="S316">
        <v>712375.77</v>
      </c>
      <c r="T316">
        <v>104171.53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f t="shared" si="24"/>
        <v>0</v>
      </c>
      <c r="F317">
        <f t="shared" si="25"/>
        <v>0</v>
      </c>
      <c r="G317">
        <f t="shared" si="26"/>
        <v>0</v>
      </c>
      <c r="H317">
        <f t="shared" si="29"/>
        <v>1</v>
      </c>
      <c r="I317">
        <f t="shared" si="27"/>
        <v>0</v>
      </c>
      <c r="J317">
        <f t="shared" si="28"/>
        <v>0</v>
      </c>
      <c r="K317">
        <v>0.108</v>
      </c>
      <c r="L317">
        <v>9967</v>
      </c>
      <c r="M317">
        <v>20</v>
      </c>
      <c r="N317">
        <v>94.7</v>
      </c>
      <c r="O317">
        <v>66456.28</v>
      </c>
      <c r="P317">
        <v>4.4800000000000004</v>
      </c>
      <c r="Q317">
        <v>0</v>
      </c>
      <c r="R317">
        <v>4.2</v>
      </c>
      <c r="S317">
        <v>844710.67</v>
      </c>
      <c r="T317">
        <v>137140.18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f t="shared" si="24"/>
        <v>0</v>
      </c>
      <c r="F318">
        <f t="shared" si="25"/>
        <v>0</v>
      </c>
      <c r="G318">
        <f t="shared" si="26"/>
        <v>0</v>
      </c>
      <c r="H318">
        <f t="shared" si="29"/>
        <v>1</v>
      </c>
      <c r="I318">
        <f t="shared" si="27"/>
        <v>0</v>
      </c>
      <c r="J318">
        <f t="shared" si="28"/>
        <v>0</v>
      </c>
      <c r="K318">
        <v>0.17399999999999999</v>
      </c>
      <c r="L318">
        <v>5639</v>
      </c>
      <c r="M318">
        <v>15</v>
      </c>
      <c r="N318">
        <v>92.9</v>
      </c>
      <c r="O318">
        <v>76614.320000000007</v>
      </c>
      <c r="P318">
        <v>1.02</v>
      </c>
      <c r="Q318">
        <v>1</v>
      </c>
      <c r="R318">
        <v>4</v>
      </c>
      <c r="S318">
        <v>620264.19999999995</v>
      </c>
      <c r="T318">
        <v>91365.64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f t="shared" si="24"/>
        <v>0</v>
      </c>
      <c r="F319">
        <f t="shared" si="25"/>
        <v>0</v>
      </c>
      <c r="G319">
        <f t="shared" si="26"/>
        <v>0</v>
      </c>
      <c r="H319">
        <f t="shared" si="29"/>
        <v>1</v>
      </c>
      <c r="I319">
        <f t="shared" si="27"/>
        <v>0</v>
      </c>
      <c r="J319">
        <f t="shared" si="28"/>
        <v>0</v>
      </c>
      <c r="K319">
        <v>0</v>
      </c>
      <c r="L319">
        <v>3466</v>
      </c>
      <c r="M319">
        <v>11</v>
      </c>
      <c r="N319">
        <v>88</v>
      </c>
      <c r="O319">
        <v>24088.06</v>
      </c>
      <c r="P319">
        <v>0.2</v>
      </c>
      <c r="Q319">
        <v>0</v>
      </c>
      <c r="R319">
        <v>3.8</v>
      </c>
      <c r="S319">
        <v>536845.42000000004</v>
      </c>
      <c r="T319">
        <v>107473.75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f t="shared" si="24"/>
        <v>0</v>
      </c>
      <c r="F320">
        <f t="shared" si="25"/>
        <v>0</v>
      </c>
      <c r="G320">
        <f t="shared" si="26"/>
        <v>0</v>
      </c>
      <c r="H320">
        <f t="shared" si="29"/>
        <v>1</v>
      </c>
      <c r="I320">
        <f t="shared" si="27"/>
        <v>0</v>
      </c>
      <c r="J320">
        <f t="shared" si="28"/>
        <v>0</v>
      </c>
      <c r="K320">
        <v>0.215</v>
      </c>
      <c r="L320">
        <v>7775</v>
      </c>
      <c r="M320">
        <v>20</v>
      </c>
      <c r="N320">
        <v>85.2</v>
      </c>
      <c r="O320">
        <v>81902.58</v>
      </c>
      <c r="P320">
        <v>4.8899999999999997</v>
      </c>
      <c r="Q320">
        <v>1</v>
      </c>
      <c r="R320">
        <v>4.2</v>
      </c>
      <c r="S320">
        <v>726776.22</v>
      </c>
      <c r="T320">
        <v>90804.49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f t="shared" si="24"/>
        <v>0</v>
      </c>
      <c r="F321">
        <f t="shared" si="25"/>
        <v>0</v>
      </c>
      <c r="G321">
        <f t="shared" si="26"/>
        <v>0</v>
      </c>
      <c r="H321">
        <f t="shared" si="29"/>
        <v>0</v>
      </c>
      <c r="I321">
        <f t="shared" si="27"/>
        <v>0</v>
      </c>
      <c r="J321">
        <f t="shared" si="28"/>
        <v>0</v>
      </c>
      <c r="K321">
        <v>0.16500000000000001</v>
      </c>
      <c r="L321">
        <v>5317</v>
      </c>
      <c r="M321">
        <v>17</v>
      </c>
      <c r="N321">
        <v>84.3</v>
      </c>
      <c r="O321">
        <v>40553.11</v>
      </c>
      <c r="P321">
        <v>11.82</v>
      </c>
      <c r="Q321">
        <v>0</v>
      </c>
      <c r="R321">
        <v>4.0999999999999996</v>
      </c>
      <c r="S321">
        <v>559660.84</v>
      </c>
      <c r="T321">
        <v>71443.61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Footfall</vt:lpstr>
      <vt:lpstr>Marketing_spend_reg</vt:lpstr>
      <vt:lpstr>Staff_count_reg</vt:lpstr>
      <vt:lpstr>Multiple regression</vt:lpstr>
      <vt:lpstr>Model comparission</vt:lpstr>
      <vt:lpstr>store_performance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Prashant Ahirwar</cp:lastModifiedBy>
  <dcterms:modified xsi:type="dcterms:W3CDTF">2026-06-28T16:57:31Z</dcterms:modified>
</cp:coreProperties>
</file>